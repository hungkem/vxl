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 tabRatio="780" activeTab="5"/>
  </bookViews>
  <sheets>
    <sheet name="1.Cover" sheetId="2" r:id="rId1"/>
    <sheet name="2.History_ver" sheetId="10" r:id="rId2"/>
    <sheet name="3.Summary" sheetId="9" r:id="rId3"/>
    <sheet name="4.Definition_list" sheetId="27" r:id="rId4"/>
    <sheet name="5.Function_list MD" sheetId="32" state="hidden" r:id="rId5"/>
    <sheet name="5.Function_list (2)" sheetId="37" r:id="rId6"/>
    <sheet name="5.Function_list" sheetId="33" r:id="rId7"/>
    <sheet name="5.Function_list-old" sheetId="25" state="hidden" r:id="rId8"/>
    <sheet name="6.Testlist" sheetId="34" r:id="rId9"/>
    <sheet name="7.Scenario_flow" sheetId="28" r:id="rId10"/>
    <sheet name="8.SVA_List" sheetId="30" r:id="rId11"/>
    <sheet name="tc_reset_on_the_fly_F1_1" sheetId="35" r:id="rId12"/>
    <sheet name="tc_fft_no_default_tready_F2_1" sheetId="36" r:id="rId13"/>
    <sheet name="9.Q&amp;A" sheetId="18" r:id="rId14"/>
  </sheets>
  <externalReferences>
    <externalReference r:id="rId15"/>
  </externalReferences>
  <definedNames>
    <definedName name="_▪_Figure_1" localSheetId="5">#REF!</definedName>
    <definedName name="_▪_Figure_1" localSheetId="4">#REF!</definedName>
    <definedName name="_▪_Figure_1" localSheetId="8">#REF!</definedName>
    <definedName name="_▪_Figure_1">#REF!</definedName>
    <definedName name="_Toc243396187" localSheetId="5">'5.Function_list (2)'!$G$34</definedName>
    <definedName name="_Toc243396197" localSheetId="5">'5.Function_list (2)'!$G$21</definedName>
    <definedName name="Assertion_Coverage" localSheetId="5">'3.Summary'!#REF!</definedName>
    <definedName name="Assertion_Coverage" localSheetId="4">'3.Summary'!#REF!</definedName>
    <definedName name="Assertion_Coverage" localSheetId="8">'[1]3.Summary'!#REF!</definedName>
    <definedName name="Assertion_Coverage">'3.Summary'!#REF!</definedName>
    <definedName name="cg_1" localSheetId="5">#REF!</definedName>
    <definedName name="cg_1" localSheetId="4">#REF!</definedName>
    <definedName name="cg_1" localSheetId="8">#REF!</definedName>
    <definedName name="cg_1" localSheetId="9">#REF!</definedName>
    <definedName name="cg_1">#REF!</definedName>
    <definedName name="Code_Coverage" localSheetId="5">'3.Summary'!#REF!</definedName>
    <definedName name="Code_Coverage" localSheetId="4">'3.Summary'!#REF!</definedName>
    <definedName name="Code_Coverage" localSheetId="8">'[1]3.Summary'!#REF!</definedName>
    <definedName name="Code_Coverage">'3.Summary'!#REF!</definedName>
    <definedName name="ctr_tb1" localSheetId="5">#REF!</definedName>
    <definedName name="ctr_tb1" localSheetId="4">#REF!</definedName>
    <definedName name="ctr_tb1" localSheetId="8">#REF!</definedName>
    <definedName name="ctr_tb1" localSheetId="10">#REF!</definedName>
    <definedName name="ctr_tb1">#REF!</definedName>
    <definedName name="f_1">'7.Scenario_flow'!$B$6</definedName>
    <definedName name="Fail_T" localSheetId="5">'3.Summary'!#REF!</definedName>
    <definedName name="Fail_T" localSheetId="4">'3.Summary'!#REF!</definedName>
    <definedName name="Fail_T" localSheetId="8">'[1]3.Summary'!#REF!</definedName>
    <definedName name="Fail_T">'3.Summary'!#REF!</definedName>
    <definedName name="fig_1" localSheetId="5">'8.SVA_List'!#REF!</definedName>
    <definedName name="fig_1" localSheetId="4">'8.SVA_List'!#REF!</definedName>
    <definedName name="fig_1" localSheetId="8">'[1]8.SVA_List'!#REF!</definedName>
    <definedName name="fig_1">'8.SVA_List'!#REF!</definedName>
    <definedName name="Funtional_Coverage" localSheetId="5">'3.Summary'!#REF!</definedName>
    <definedName name="Funtional_Coverage" localSheetId="4">'3.Summary'!#REF!</definedName>
    <definedName name="Funtional_Coverage" localSheetId="8">'[1]3.Summary'!#REF!</definedName>
    <definedName name="Funtional_Coverage">'3.Summary'!#REF!</definedName>
    <definedName name="options" localSheetId="5">#REF!</definedName>
    <definedName name="options" localSheetId="4">#REF!</definedName>
    <definedName name="options" localSheetId="8">#REF!</definedName>
    <definedName name="options">#REF!</definedName>
    <definedName name="par0_tb1" localSheetId="5">#REF!</definedName>
    <definedName name="par0_tb1" localSheetId="4">#REF!</definedName>
    <definedName name="par0_tb1" localSheetId="8">#REF!</definedName>
    <definedName name="par0_tb1" localSheetId="10">#REF!</definedName>
    <definedName name="par0_tb1">#REF!</definedName>
    <definedName name="par0_tb2" localSheetId="5">#REF!</definedName>
    <definedName name="par0_tb2" localSheetId="4">#REF!</definedName>
    <definedName name="par0_tb2" localSheetId="8">#REF!</definedName>
    <definedName name="par0_tb2" localSheetId="10">#REF!</definedName>
    <definedName name="par0_tb2">#REF!</definedName>
    <definedName name="par0_tb3" localSheetId="5">#REF!</definedName>
    <definedName name="par0_tb3" localSheetId="4">#REF!</definedName>
    <definedName name="par0_tb3" localSheetId="8">#REF!</definedName>
    <definedName name="par0_tb3" localSheetId="10">#REF!</definedName>
    <definedName name="par0_tb3">#REF!</definedName>
    <definedName name="par1_tb1" localSheetId="5">#REF!</definedName>
    <definedName name="par1_tb1" localSheetId="4">#REF!</definedName>
    <definedName name="par1_tb1" localSheetId="8">#REF!</definedName>
    <definedName name="par1_tb1" localSheetId="10">#REF!</definedName>
    <definedName name="par1_tb1">#REF!</definedName>
    <definedName name="Pass_T" localSheetId="5">'3.Summary'!#REF!</definedName>
    <definedName name="Pass_T" localSheetId="4">'3.Summary'!#REF!</definedName>
    <definedName name="Pass_T" localSheetId="8">'[1]3.Summary'!#REF!</definedName>
    <definedName name="Pass_T">'3.Summary'!#REF!</definedName>
    <definedName name="percent" localSheetId="5">#REF!</definedName>
    <definedName name="percent" localSheetId="4">#REF!</definedName>
    <definedName name="percent" localSheetId="8">#REF!</definedName>
    <definedName name="percent">#REF!</definedName>
    <definedName name="_xlnm.Print_Area" localSheetId="3">'4.Definition_list'!$A$1:$D$22</definedName>
    <definedName name="_xlnm.Print_Area" localSheetId="4">'5.Function_list MD'!$A$2:$J$70</definedName>
    <definedName name="_xlnm.Print_Area" localSheetId="7">'5.Function_list-old'!$A$2:$G$36</definedName>
    <definedName name="_xlnm.Print_Area" localSheetId="8">'6.Testlist'!$A$1:$U$23</definedName>
    <definedName name="_xlnm.Print_Area" localSheetId="9">'7.Scenario_flow'!$A$1:$AG$86</definedName>
    <definedName name="reg_tb1" localSheetId="5">#REF!</definedName>
    <definedName name="reg_tb1" localSheetId="4">#REF!</definedName>
    <definedName name="reg_tb1" localSheetId="8">#REF!</definedName>
    <definedName name="reg_tb1" localSheetId="10">#REF!</definedName>
    <definedName name="reg_tb1">#REF!</definedName>
    <definedName name="reg_tb2" localSheetId="5">#REF!</definedName>
    <definedName name="reg_tb2" localSheetId="4">#REF!</definedName>
    <definedName name="reg_tb2" localSheetId="8">#REF!</definedName>
    <definedName name="reg_tb2" localSheetId="10">#REF!</definedName>
    <definedName name="reg_tb2">#REF!</definedName>
    <definedName name="reg_tb3" localSheetId="5">#REF!</definedName>
    <definedName name="reg_tb3" localSheetId="4">#REF!</definedName>
    <definedName name="reg_tb3" localSheetId="8">#REF!</definedName>
    <definedName name="reg_tb3" localSheetId="10">#REF!</definedName>
    <definedName name="reg_tb3">#REF!</definedName>
    <definedName name="reg_tb4" localSheetId="5">#REF!</definedName>
    <definedName name="reg_tb4" localSheetId="4">#REF!</definedName>
    <definedName name="reg_tb4" localSheetId="8">#REF!</definedName>
    <definedName name="reg_tb4" localSheetId="10">#REF!</definedName>
    <definedName name="reg_tb4">#REF!</definedName>
    <definedName name="reg_tb5" localSheetId="5">#REF!</definedName>
    <definedName name="reg_tb5" localSheetId="4">#REF!</definedName>
    <definedName name="reg_tb5" localSheetId="8">#REF!</definedName>
    <definedName name="reg_tb5" localSheetId="10">#REF!</definedName>
    <definedName name="reg_tb5">#REF!</definedName>
    <definedName name="reg_tb6" localSheetId="5">#REF!</definedName>
    <definedName name="reg_tb6" localSheetId="4">#REF!</definedName>
    <definedName name="reg_tb6" localSheetId="8">#REF!</definedName>
    <definedName name="reg_tb6" localSheetId="10">#REF!</definedName>
    <definedName name="reg_tb6">#REF!</definedName>
    <definedName name="sys_reg_tb1" localSheetId="5">#REF!</definedName>
    <definedName name="sys_reg_tb1" localSheetId="4">#REF!</definedName>
    <definedName name="sys_reg_tb1" localSheetId="8">#REF!</definedName>
    <definedName name="sys_reg_tb1" localSheetId="10">#REF!</definedName>
    <definedName name="sys_reg_tb1">#REF!</definedName>
    <definedName name="Total_T">'3.Summary'!$H$14:$H$78</definedName>
    <definedName name="WindowOffset" localSheetId="5">#REF!</definedName>
    <definedName name="WindowOffset" localSheetId="4">#REF!</definedName>
    <definedName name="WindowOffset" localSheetId="8">#REF!</definedName>
    <definedName name="WindowOffse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4" l="1"/>
  <c r="F11" i="9"/>
  <c r="Q7" i="34" l="1"/>
  <c r="P7" i="34"/>
  <c r="M7" i="34"/>
  <c r="L7" i="34"/>
  <c r="I7" i="34"/>
  <c r="G11" i="9" s="1"/>
  <c r="A5" i="30" l="1"/>
  <c r="H13" i="9" l="1"/>
  <c r="H11" i="9"/>
</calcChain>
</file>

<file path=xl/comments1.xml><?xml version="1.0" encoding="utf-8"?>
<comments xmlns="http://schemas.openxmlformats.org/spreadsheetml/2006/main">
  <authors>
    <author>Author</author>
  </authors>
  <commentList>
    <comment ref="C10" authorId="0" shapeId="0">
      <text>
        <r>
          <rPr>
            <sz val="9"/>
            <color indexed="81"/>
            <rFont val="Tahoma"/>
            <family val="2"/>
          </rPr>
          <t xml:space="preserve">- Refer to Sheet 6.Testlist for detail
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 xml:space="preserve">- Testbench revision, hash of ENV on repo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5" authorId="0" shapeId="0">
      <text>
        <r>
          <rPr>
            <sz val="9"/>
            <color indexed="81"/>
            <rFont val="Tahoma"/>
            <family val="2"/>
          </rPr>
          <t xml:space="preserve">Be careful name rule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the item check such as initial value, connection, pusle, rise, fall… </t>
        </r>
      </text>
    </comment>
  </commentList>
</comments>
</file>

<file path=xl/sharedStrings.xml><?xml version="1.0" encoding="utf-8"?>
<sst xmlns="http://schemas.openxmlformats.org/spreadsheetml/2006/main" count="627" uniqueCount="355">
  <si>
    <t>No</t>
  </si>
  <si>
    <t>Date</t>
  </si>
  <si>
    <t>Content</t>
  </si>
  <si>
    <t>Author</t>
  </si>
  <si>
    <t>Remark</t>
  </si>
  <si>
    <t>- Create new</t>
  </si>
  <si>
    <t>Revision</t>
  </si>
  <si>
    <t>Description</t>
  </si>
  <si>
    <t>: Rev0.1</t>
  </si>
  <si>
    <t>R0.1</t>
  </si>
  <si>
    <t>HISTORY</t>
  </si>
  <si>
    <t>Status</t>
  </si>
  <si>
    <t>Priority</t>
  </si>
  <si>
    <t>Done</t>
  </si>
  <si>
    <t xml:space="preserve">SUMMARY REPORT </t>
  </si>
  <si>
    <t>results from other sub sheets</t>
  </si>
  <si>
    <t>- This sheet is used to collect and summarize all</t>
  </si>
  <si>
    <t>Prj Duration</t>
  </si>
  <si>
    <t>Updated by</t>
  </si>
  <si>
    <t>Approval</t>
  </si>
  <si>
    <t>Questioner</t>
  </si>
  <si>
    <t>Question</t>
  </si>
  <si>
    <t>Answer</t>
  </si>
  <si>
    <t>Responden by</t>
  </si>
  <si>
    <t>Q&amp;A</t>
  </si>
  <si>
    <t>- The history is used for recording all modification of this document</t>
  </si>
  <si>
    <t>- Please update exactly info to review correctly in the future</t>
  </si>
  <si>
    <t>Attached File</t>
  </si>
  <si>
    <t>Close</t>
  </si>
  <si>
    <t>Open</t>
  </si>
  <si>
    <t>Suspend</t>
  </si>
  <si>
    <t>Note</t>
  </si>
  <si>
    <t>Assertion</t>
  </si>
  <si>
    <t>TESTLIST</t>
  </si>
  <si>
    <t>TESTPLAN</t>
  </si>
  <si>
    <t>Summary Result</t>
  </si>
  <si>
    <t>On Going</t>
  </si>
  <si>
    <t>Not yet</t>
  </si>
  <si>
    <t>-</t>
  </si>
  <si>
    <t>Reference section in specification</t>
  </si>
  <si>
    <t>EX:
1. Func 1</t>
  </si>
  <si>
    <t>Ex:
1. Func 1-1</t>
  </si>
  <si>
    <t>Ex:
2. Func 1-2</t>
  </si>
  <si>
    <t>Classification 1</t>
  </si>
  <si>
    <t>Classification 2</t>
  </si>
  <si>
    <t>Classification 3</t>
  </si>
  <si>
    <t>Classification 4</t>
  </si>
  <si>
    <t>High</t>
  </si>
  <si>
    <t>Normal</t>
  </si>
  <si>
    <t>Low</t>
  </si>
  <si>
    <t>Function</t>
  </si>
  <si>
    <t>Confirm method</t>
  </si>
  <si>
    <t>No. of planned items</t>
  </si>
  <si>
    <t>No. of finished items</t>
  </si>
  <si>
    <t>Scenario name</t>
  </si>
  <si>
    <t>Finished date</t>
  </si>
  <si>
    <t>In charge person</t>
  </si>
  <si>
    <t>Fund. ID</t>
  </si>
  <si>
    <t>What is checked</t>
  </si>
  <si>
    <t>How to check</t>
  </si>
  <si>
    <t>F1.1</t>
  </si>
  <si>
    <t>Scoreboard</t>
  </si>
  <si>
    <t>Classification 1~4</t>
  </si>
  <si>
    <t>Prefix</t>
  </si>
  <si>
    <t>Definition</t>
  </si>
  <si>
    <t>Remarks</t>
  </si>
  <si>
    <t>'h/h'</t>
  </si>
  <si>
    <t>Hex numeral</t>
  </si>
  <si>
    <t>Ex: 'hFF</t>
  </si>
  <si>
    <t>'b/b'</t>
  </si>
  <si>
    <t>Binary numeral</t>
  </si>
  <si>
    <t>Ex: 'b1111_1111</t>
  </si>
  <si>
    <t>None</t>
  </si>
  <si>
    <t>Decimal</t>
  </si>
  <si>
    <t>Ex: 255</t>
  </si>
  <si>
    <t>Abbreviation</t>
  </si>
  <si>
    <t>H</t>
  </si>
  <si>
    <t>High Level</t>
  </si>
  <si>
    <t>L</t>
  </si>
  <si>
    <t>Low level</t>
  </si>
  <si>
    <t>ALL-H</t>
  </si>
  <si>
    <t>All bits are set to high</t>
  </si>
  <si>
    <t>ALL-L</t>
  </si>
  <si>
    <t>All bits are set to low</t>
  </si>
  <si>
    <t>Pol</t>
  </si>
  <si>
    <t>Polarity</t>
  </si>
  <si>
    <t>Classification</t>
  </si>
  <si>
    <t>Addr</t>
  </si>
  <si>
    <t>Address</t>
  </si>
  <si>
    <t>Register</t>
  </si>
  <si>
    <t>TM</t>
  </si>
  <si>
    <t>Test-scenario</t>
  </si>
  <si>
    <t>FCOV</t>
  </si>
  <si>
    <t>Functional Coverage</t>
  </si>
  <si>
    <t>ID</t>
  </si>
  <si>
    <t>Identifier</t>
  </si>
  <si>
    <t>Fund.ID</t>
  </si>
  <si>
    <t>Fundamental ID</t>
  </si>
  <si>
    <t>Items to be done up to 1st release of source code</t>
  </si>
  <si>
    <t>Items to be done up to source code Fix</t>
  </si>
  <si>
    <t>Items up to T.O</t>
  </si>
  <si>
    <t>DEFINITION LIST</t>
  </si>
  <si>
    <t>ENV revision</t>
  </si>
  <si>
    <t>* Guideline:</t>
  </si>
  <si>
    <t xml:space="preserve"> - Use symbols/lines in Flowchart/Lines group in tab Insert&gt;Shapes</t>
  </si>
  <si>
    <t>Ex:</t>
  </si>
  <si>
    <t xml:space="preserve"> - Do not use backgound color in box</t>
  </si>
  <si>
    <t xml:space="preserve"> - Use keyword "START/END/HALT" for terminator</t>
  </si>
  <si>
    <t>Common flow chart symbols:</t>
  </si>
  <si>
    <t>SCENARIO FLOW</t>
  </si>
  <si>
    <t>Table D_1-3: Priority</t>
  </si>
  <si>
    <t>Table D_1-2: Abbreviation</t>
  </si>
  <si>
    <t>Table D_1-1: Numeral</t>
  </si>
  <si>
    <t>Property</t>
  </si>
  <si>
    <t>Remain</t>
  </si>
  <si>
    <t>1. Flow of "Scenario_name"</t>
  </si>
  <si>
    <t>assertion/cover/proterty name</t>
  </si>
  <si>
    <t>Check item</t>
  </si>
  <si>
    <t>Check signal</t>
  </si>
  <si>
    <t>Items</t>
  </si>
  <si>
    <t>SVA List</t>
  </si>
  <si>
    <t>Section 1.1.2 in Design Specification</t>
  </si>
  <si>
    <t>Section 1.1.1 in Design Specification</t>
  </si>
  <si>
    <t>REG</t>
  </si>
  <si>
    <t>Started date</t>
  </si>
  <si>
    <t>Post-simulation</t>
  </si>
  <si>
    <t>RTL</t>
  </si>
  <si>
    <t>Pre-simulation</t>
  </si>
  <si>
    <t>Level</t>
  </si>
  <si>
    <t>1. Mô tả tính năng: Thời gian thực thi</t>
  </si>
  <si>
    <t>1. Mô tả tính năng: Tham số cấu hình</t>
  </si>
  <si>
    <t>4.2. CONFIG: NFFT</t>
  </si>
  <si>
    <t>4.2. CONFIG: SCALE_SCH</t>
  </si>
  <si>
    <t>4.2. CONFIG: CP_LEN</t>
  </si>
  <si>
    <t>4.2. CONFIG:CP_LEN</t>
  </si>
  <si>
    <t>6.2. Chi tiết Configure Sequence cho FFT theo AXI Stream Interface --&gt; Step 5: Lặp lại xử lý (Processing loop)</t>
  </si>
  <si>
    <t>output frame maybe overlap because If cyclic prefix insertion is used, more samples are unloaded from the core than are loaded.</t>
  </si>
  <si>
    <t>6.2. Chi tiết Configure Sequence cho FFT theo AXI Stream Interface --&gt; Step 4: Nhận dữ liệu đầu ra (Output data phase)</t>
  </si>
  <si>
    <t>1. Operation</t>
  </si>
  <si>
    <t>1. FFT</t>
  </si>
  <si>
    <t>2. iFFT</t>
  </si>
  <si>
    <t>3. output cycle</t>
  </si>
  <si>
    <t>2. reset</t>
  </si>
  <si>
    <t>1. reset during operation</t>
  </si>
  <si>
    <t>1. full stage with different N</t>
  </si>
  <si>
    <t>2. less than full stage</t>
  </si>
  <si>
    <t>3. cyclic prefix length and ouput frame due to inserting cyclic prefix</t>
  </si>
  <si>
    <t>4. scale schedule</t>
  </si>
  <si>
    <t>5. change configuration for each frame during operation</t>
  </si>
  <si>
    <t>6. output frame overlap due to receiver is not ready</t>
  </si>
  <si>
    <t>3. cyclic prefix length and frame overlap due to inserting cyclic prefix</t>
  </si>
  <si>
    <t>1. without overflow</t>
  </si>
  <si>
    <t>2. with overflow</t>
  </si>
  <si>
    <t>4. channel status timing</t>
  </si>
  <si>
    <t>6.2. Chi tiết Configure Sequence cho FFT theo AXI Stream Interface --&gt; Step 4: Nhận dữ liệu đầu ra (Output data phase)--&gt; 3. Tín hiệu đi kèm</t>
  </si>
  <si>
    <t>7. Accuracy</t>
  </si>
  <si>
    <t>Classification 5</t>
  </si>
  <si>
    <t>Classification 6</t>
  </si>
  <si>
    <t>1. full stage</t>
  </si>
  <si>
    <t>due to no register default value check, so we need this scenario to confirm the IP reset</t>
  </si>
  <si>
    <t>1. N:16384</t>
  </si>
  <si>
    <t>2. N:8192</t>
  </si>
  <si>
    <t>3. N:4096</t>
  </si>
  <si>
    <t>4. N:2048</t>
  </si>
  <si>
    <t>5. N:1024</t>
  </si>
  <si>
    <t>6. N:512</t>
  </si>
  <si>
    <t>7. N:256</t>
  </si>
  <si>
    <t>8. N:128</t>
  </si>
  <si>
    <t>9. N:64</t>
  </si>
  <si>
    <t>10. N:32</t>
  </si>
  <si>
    <t>11. N:16</t>
  </si>
  <si>
    <t>12. N:8</t>
  </si>
  <si>
    <t>2. change configuration for each frame at the end of previous frame operation</t>
  </si>
  <si>
    <t>3. output frame overlap due to receiver is not ready</t>
  </si>
  <si>
    <t>4. Accuracy</t>
  </si>
  <si>
    <t>1. less than full stage</t>
  </si>
  <si>
    <t>2. cyclic prefix length and ouput frame due to inserting cyclic prefix</t>
  </si>
  <si>
    <t>3. scale schedule</t>
  </si>
  <si>
    <t>1. INPUT_W: 32</t>
  </si>
  <si>
    <t>2. INPUT_W: 16</t>
  </si>
  <si>
    <t>3. INPUT_W: 8</t>
  </si>
  <si>
    <t>4. So sánh kết quả phần cứng với phần mềm bằng RMSE hoặc SNR</t>
  </si>
  <si>
    <t>Cover type</t>
  </si>
  <si>
    <t>5.2 Status Format</t>
  </si>
  <si>
    <t>The same with N:16384</t>
  </si>
  <si>
    <t>3. NFFT</t>
  </si>
  <si>
    <t>4. CP_LEN</t>
  </si>
  <si>
    <t>5. SCALE_SCH</t>
  </si>
  <si>
    <t>6. Change configuration for each frame at the end of previous frame operation</t>
  </si>
  <si>
    <t>7. Output frame overlap due to receiver is not ready</t>
  </si>
  <si>
    <t>8. Accuracy</t>
  </si>
  <si>
    <t>9. Overflow</t>
  </si>
  <si>
    <t>4.2. CONFIG: IFFT</t>
  </si>
  <si>
    <t>1. Output cycle</t>
  </si>
  <si>
    <t>1. Reset during operation</t>
  </si>
  <si>
    <t>13. Channel status timing</t>
  </si>
  <si>
    <t>Covergroup</t>
  </si>
  <si>
    <t>Covergroup, Cross</t>
  </si>
  <si>
    <t>1. Reset</t>
  </si>
  <si>
    <t>2. AXI Stream Protocol</t>
  </si>
  <si>
    <t>Classification 1: 1. Reset
Classification 2: 1. Reset during operation</t>
  </si>
  <si>
    <t>1. Master: default ready assert/no-assert</t>
  </si>
  <si>
    <t>Classification 1: 2. AXI Stream Protocol
Classification 2: 1. Master: default ready assert/no-assert</t>
  </si>
  <si>
    <t>Classification 1: 2. Operation
Classification 2: 1. N:16384
Classification 3: 9. Overflow</t>
  </si>
  <si>
    <t>Cover Property</t>
  </si>
  <si>
    <t>AXI VIP Coverage</t>
  </si>
  <si>
    <t>3. Operation</t>
  </si>
  <si>
    <t>4. Performance</t>
  </si>
  <si>
    <t>Classification 1: 3. Operation
Classification 2: 1. N:16384
Classification 3: 1. FFT</t>
  </si>
  <si>
    <t>Scoreboard + Assertion</t>
  </si>
  <si>
    <t>tc_fft_fftSimple_F3_1_1</t>
  </si>
  <si>
    <t>tc_fft_ifft_F3_1_2</t>
  </si>
  <si>
    <t>tc_fft_nfft_F3_1_3</t>
  </si>
  <si>
    <t>tc_fft_cplen_F3_1_4</t>
  </si>
  <si>
    <t>tc_fft_override_frame_F3_1_7</t>
  </si>
  <si>
    <t>tc_fft_overflow_F3_1_9</t>
  </si>
  <si>
    <t>tc_fft_scaleSch_F3_1_5</t>
  </si>
  <si>
    <t>Hungpv79</t>
  </si>
  <si>
    <t>N/A (Covered by other tests)</t>
  </si>
  <si>
    <t>This scenario is verified implicitly in all other tests.</t>
  </si>
  <si>
    <t>F2.2</t>
  </si>
  <si>
    <t>Flowchart of FFT</t>
  </si>
  <si>
    <t>Timing data output and status</t>
  </si>
  <si>
    <t>tc_fft_no_default_tready_F2_1</t>
  </si>
  <si>
    <t>Classification 1: 3. Operation
Classification 2: 1. N:16384
Classification 3: 2. iFFT</t>
  </si>
  <si>
    <t>Classification 1: 3. Operation
Classification 2: 1. N:16384
Classification 3: 3. NFFT</t>
  </si>
  <si>
    <t>Classification 1: 3. Operation
Classification 2: 1. N:16384
Classification 3: 4. CP_LEN</t>
  </si>
  <si>
    <t>Classification 1: 3. Operation
Classification 2: 1. N:16384
Classification 3: 5. SCALE_SCH</t>
  </si>
  <si>
    <t>Classification 1: 3. Operation
Classification 2: 1. N:16384
Classification 3: 6. Change configuration for each frame at the end of previous frame operation</t>
  </si>
  <si>
    <t>Classification 1: 3. Operation
Classification 2: 1. N:16384
Classification 3: 7. Output frame overlap due to receiver is not ready</t>
  </si>
  <si>
    <t>Classification 1: 3. Operation
Classification 2: 1. N:16384
Classification 3: 8. Accuracy</t>
  </si>
  <si>
    <t>F3.1.1</t>
  </si>
  <si>
    <t>F3.1.2</t>
  </si>
  <si>
    <t>F3.1.3</t>
  </si>
  <si>
    <t>F3.1.4</t>
  </si>
  <si>
    <t>F3.1.5</t>
  </si>
  <si>
    <t>F3.1.6</t>
  </si>
  <si>
    <t>F3.1.7</t>
  </si>
  <si>
    <t>F3.1.8</t>
  </si>
  <si>
    <t>F3.1.9</t>
  </si>
  <si>
    <r>
      <t xml:space="preserve">1. OBJECTIVE: Verify FFT function.
2. DETAILS: 
+) Configure register with FFT mode, (other field is default) (NP = 16384).
+) Random data_in (no overflow) and verify output result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 xml:space="preserve">: No error.
</t>
    </r>
  </si>
  <si>
    <r>
      <t xml:space="preserve">1. OBJECTIVE: Verify IFFT function.
2. DETAILS: 
+) Configure register with IFFT mode, (other field is default) (NP = 16384).
+) Random data_in (no overflow) and verify output result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 xml:space="preserve">: No error.
</t>
    </r>
  </si>
  <si>
    <r>
      <t xml:space="preserve">1. OBJECTIVE: Verify NFFT function (all supported value).
2. DETAILS: 
+) Configure register with all possible NFFT value (other field is default) and random data_in (no overflow) verify output result of DUT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 xml:space="preserve">: No error
</t>
    </r>
  </si>
  <si>
    <r>
      <t xml:space="preserve">1. OBJECTIVE: Verify SCALE_SCH function.
2. DETAILS: 
+) Configure register with all possible scale_sch value and nfft (other field is default).
+) Random data_in (no overflow) and verify output result of DUT.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error.</t>
    </r>
  </si>
  <si>
    <r>
      <t xml:space="preserve">1. OBJECTIVE: Verify CP_LEN function.
2. DETAILS: 
+) Configure register with all possible cp_len value with NFFT ((other field is default)) and random data_in (no overflow)  
+) Verify output result of DUT.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error.</t>
    </r>
  </si>
  <si>
    <t>Assert</t>
  </si>
  <si>
    <t>raise</t>
  </si>
  <si>
    <t xml:space="preserve">m_axis_status_tvalid </t>
  </si>
  <si>
    <t>Verify at scoreboard</t>
  </si>
  <si>
    <t>Cover</t>
  </si>
  <si>
    <t>aresetn</t>
  </si>
  <si>
    <r>
      <t xml:space="preserve">1. OBJECTIVE: Verify configuration changes occur mid-operation.
2. DETAILS: 
+) Enable override test in config
+) Set default_tready = 0
+) Send random config data 
+) Send random data_in (ensure no overflow) continously and set delay_tvalid for data_in.
+) Verify which data_in is overrided (removed and not compare with model).
+) Compare result of data_in not overrided with model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error.</t>
    </r>
  </si>
  <si>
    <r>
      <t xml:space="preserve">1. OBJECTIVE: Verify overflow detection.
2. DETAILS: 
+) Enable overflow test in config
+) Send random config  data (nfft, ifft, and cp_len = 0) and set scale_sch. If this data_in overflowed, then send new config data with scale_sch larger than previous config data.
+) Send random data_in  
+) Verify operation of overflow flag.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</t>
    </r>
  </si>
  <si>
    <t>Nhannh18</t>
  </si>
  <si>
    <t>FFT_AXI_stream VERIFICATION CHECKLIST</t>
  </si>
  <si>
    <t>Check: m_axis_status_tvalid is raised at the same time as m_axis_data_tlast</t>
  </si>
  <si>
    <t>Check: Behavior of FFT when aresetn is asserted during operation</t>
  </si>
  <si>
    <t>tc_reset_on_the_fly_F1_1</t>
  </si>
  <si>
    <r>
      <t xml:space="preserve">1. OBJECTIVE: Verify operation of DUT when trigger reset during data processing and resume normal operation after reset release.
2. DETAILS: 
+) Apply asynchronous reset at (streaming data_in, computing data, and streaming data_out phase) .
+) Config nfft = 3 (other field is default) and random data_in.
+) Verify behavior of DUT after reset release.  
3. </t>
    </r>
    <r>
      <rPr>
        <sz val="10"/>
        <color rgb="FF00B050"/>
        <rFont val="Calibri"/>
        <family val="2"/>
        <scheme val="minor"/>
      </rPr>
      <t>PASS CRITERIA:</t>
    </r>
    <r>
      <rPr>
        <sz val="10"/>
        <color theme="1"/>
        <rFont val="Calibri"/>
        <family val="2"/>
        <scheme val="minor"/>
      </rPr>
      <t xml:space="preserve"> No error.</t>
    </r>
  </si>
  <si>
    <r>
      <t xml:space="preserve">1. OBJECTIVE: Verify operation of DUT when change configuration for each frame at the end of previous frame operation
2. DETAILS: 
+) Verify frame completes with configuration A. 
+) Wait all data_out stream complete and verify result.
+) Then verify next frame uses configuration B as above.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error.</t>
    </r>
  </si>
  <si>
    <r>
      <t xml:space="preserve">1. OBJECTIVE: Verify accuracy of RMSE
2. DETAILS: 
+) Verify accuracy with different INPUT_W size and NFFT.
+) Calculate the output results and tune the model such that the RMSE remains within the acceptable error range.
3. </t>
    </r>
    <r>
      <rPr>
        <sz val="10"/>
        <color rgb="FF00B050"/>
        <rFont val="Calibri"/>
        <family val="2"/>
        <scheme val="minor"/>
      </rPr>
      <t>PASS CRITERIA</t>
    </r>
    <r>
      <rPr>
        <sz val="10"/>
        <color theme="1"/>
        <rFont val="Calibri"/>
        <family val="2"/>
        <scheme val="minor"/>
      </rPr>
      <t>: No error.</t>
    </r>
  </si>
  <si>
    <t>1. Test name</t>
  </si>
  <si>
    <t>2. Objective</t>
  </si>
  <si>
    <t>3. Scenario flow</t>
  </si>
  <si>
    <t>1. Build phase</t>
  </si>
  <si>
    <r>
      <t xml:space="preserve">1. Enable </t>
    </r>
    <r>
      <rPr>
        <b/>
        <i/>
        <sz val="14"/>
        <color theme="1"/>
        <rFont val="Calibri"/>
        <family val="2"/>
        <scheme val="minor"/>
      </rPr>
      <t>default_tready</t>
    </r>
    <r>
      <rPr>
        <sz val="14"/>
        <color theme="1"/>
        <rFont val="Calibri"/>
        <family val="2"/>
        <scheme val="minor"/>
      </rPr>
      <t xml:space="preserve"> and </t>
    </r>
    <r>
      <rPr>
        <b/>
        <i/>
        <sz val="14"/>
        <color theme="1"/>
        <rFont val="Calibri"/>
        <family val="2"/>
        <scheme val="minor"/>
      </rPr>
      <t>zero_delay_enable</t>
    </r>
    <r>
      <rPr>
        <sz val="14"/>
        <color theme="1"/>
        <rFont val="Calibri"/>
        <family val="2"/>
        <scheme val="minor"/>
      </rPr>
      <t xml:space="preserve">of Slave VIP
2. Config </t>
    </r>
    <r>
      <rPr>
        <b/>
        <i/>
        <sz val="14"/>
        <color theme="1"/>
        <rFont val="Calibri"/>
        <family val="2"/>
        <scheme val="minor"/>
      </rPr>
      <t>reset_type</t>
    </r>
    <r>
      <rPr>
        <sz val="14"/>
        <color theme="1"/>
        <rFont val="Calibri"/>
        <family val="2"/>
        <scheme val="minor"/>
      </rPr>
      <t xml:space="preserve">of Master/Slave VIP is </t>
    </r>
    <r>
      <rPr>
        <b/>
        <i/>
        <sz val="14"/>
        <color theme="1"/>
        <rFont val="Calibri"/>
        <family val="2"/>
        <scheme val="minor"/>
      </rPr>
      <t>RESET_ALL_XACT</t>
    </r>
  </si>
  <si>
    <t>2. Run phase</t>
  </si>
  <si>
    <t>1. Generate clock 200Mhz, assert and deassert reset.</t>
  </si>
  <si>
    <t xml:space="preserve">4. Check output result with model. </t>
  </si>
  <si>
    <t>2. Start salve sequence for data and status to generate response data.</t>
  </si>
  <si>
    <t>3. Send cfg (nfft = 3 and others field is default ) and randomly input data (called normal transfer)</t>
  </si>
  <si>
    <r>
      <t>6.</t>
    </r>
    <r>
      <rPr>
        <b/>
        <sz val="14"/>
        <color theme="1"/>
        <rFont val="Calibri"/>
        <family val="2"/>
        <scheme val="minor"/>
      </rPr>
      <t xml:space="preserve"> Trigger asynchronous reset </t>
    </r>
    <r>
      <rPr>
        <sz val="14"/>
        <color theme="1"/>
        <rFont val="Calibri"/>
        <family val="2"/>
        <scheme val="minor"/>
      </rPr>
      <t>for 20 cycles then release reset.</t>
    </r>
  </si>
  <si>
    <t>7. Stop 4 sequencer (cfg, input data, output data, status)</t>
  </si>
  <si>
    <t>8. Start salve sequence for data and status to generate response data.</t>
  </si>
  <si>
    <t>5. Send normal transfer and wait 4 cycles (streaming input)</t>
  </si>
  <si>
    <t>9. Send normal transfer and check output result with model.</t>
  </si>
  <si>
    <t>10. Send normal transfer and wait 12 cycles (calculating data)</t>
  </si>
  <si>
    <r>
      <t>11.</t>
    </r>
    <r>
      <rPr>
        <b/>
        <sz val="14"/>
        <color theme="1"/>
        <rFont val="Calibri"/>
        <family val="2"/>
        <scheme val="minor"/>
      </rPr>
      <t xml:space="preserve"> Trigger asynchronous reset </t>
    </r>
    <r>
      <rPr>
        <sz val="14"/>
        <color theme="1"/>
        <rFont val="Calibri"/>
        <family val="2"/>
        <scheme val="minor"/>
      </rPr>
      <t>for 60 cycles then release reset.</t>
    </r>
  </si>
  <si>
    <t>12. Stop 4 sequencer (cfg, input data, output data, status)</t>
  </si>
  <si>
    <t>13. Start salve sequence for data and status to generate response data.</t>
  </si>
  <si>
    <t>14. Send normal transfer and check output result with model.</t>
  </si>
  <si>
    <r>
      <t>16.</t>
    </r>
    <r>
      <rPr>
        <b/>
        <sz val="14"/>
        <color theme="1"/>
        <rFont val="Calibri"/>
        <family val="2"/>
        <scheme val="minor"/>
      </rPr>
      <t xml:space="preserve"> Trigger asynchronous reset </t>
    </r>
    <r>
      <rPr>
        <sz val="14"/>
        <color theme="1"/>
        <rFont val="Calibri"/>
        <family val="2"/>
        <scheme val="minor"/>
      </rPr>
      <t>for 100 cycles then release reset.</t>
    </r>
  </si>
  <si>
    <t>17. Stop 4 sequencer (cfg, input data, output data, status)</t>
  </si>
  <si>
    <t>18. Start salve sequence for data and status to generate response data.</t>
  </si>
  <si>
    <t>19. Send normal transfer and check output result with model.</t>
  </si>
  <si>
    <t>15. Send normal transfer and wait 35 cycles (streaming data out with last beat)</t>
  </si>
  <si>
    <t>20. Repeat from step 5 to step 19, but trigger a one-cycle reset pulse.</t>
  </si>
  <si>
    <t>Verify operation of DUT when trigger reset at different point and resume normal operation after reset release.</t>
  </si>
  <si>
    <t>./testcase/reset_test/tc_reset_on_the_fly_F1_1/tc_reset_on_the_fly_F1_1.sv</t>
  </si>
  <si>
    <t>21. End test</t>
  </si>
  <si>
    <t>4. Result</t>
  </si>
  <si>
    <t>./testcase/reset_test/tc_fft_no_default_tready_F2_1/tc_fft_no_default_tready_F2_1.sv</t>
  </si>
  <si>
    <r>
      <t xml:space="preserve">1. OBJECTIVE: Verify operation of the DUT when disable default_tready.
2. DETAILS: 
+) Random nfft, cp_len, ifft, and scale_sch.
+) Random data_in (no overflow).
+) Delay tready of data_out with last beat is large cycle and verify output result
</t>
    </r>
    <r>
      <rPr>
        <sz val="10"/>
        <color rgb="FF00B050"/>
        <rFont val="Calibri"/>
        <family val="2"/>
        <scheme val="minor"/>
      </rPr>
      <t xml:space="preserve">3. PASS CRITERIA: </t>
    </r>
    <r>
      <rPr>
        <sz val="10"/>
        <color theme="1"/>
        <rFont val="Calibri"/>
        <family val="2"/>
        <scheme val="minor"/>
      </rPr>
      <t>No error</t>
    </r>
  </si>
  <si>
    <t>Verify operation of the DUT when disable default_tready</t>
  </si>
  <si>
    <r>
      <t xml:space="preserve">1. Disable </t>
    </r>
    <r>
      <rPr>
        <b/>
        <i/>
        <sz val="14"/>
        <color theme="1"/>
        <rFont val="Calibri"/>
        <family val="2"/>
        <scheme val="minor"/>
      </rPr>
      <t>default_tready</t>
    </r>
    <r>
      <rPr>
        <sz val="14"/>
        <color theme="1"/>
        <rFont val="Calibri"/>
        <family val="2"/>
        <scheme val="minor"/>
      </rPr>
      <t xml:space="preserve"> and </t>
    </r>
    <r>
      <rPr>
        <b/>
        <i/>
        <sz val="14"/>
        <color theme="1"/>
        <rFont val="Calibri"/>
        <family val="2"/>
        <scheme val="minor"/>
      </rPr>
      <t>zero_delay_enable</t>
    </r>
    <r>
      <rPr>
        <sz val="14"/>
        <color theme="1"/>
        <rFont val="Calibri"/>
        <family val="2"/>
        <scheme val="minor"/>
      </rPr>
      <t xml:space="preserve">of Slave VIP
</t>
    </r>
  </si>
  <si>
    <t>3. Send cfg (random all field ) and randomly input data (called normal transfer)</t>
  </si>
  <si>
    <t>5. Repeat 1000 times step 3-4</t>
  </si>
  <si>
    <t>6. End test</t>
  </si>
  <si>
    <t>GLITCH_RESET_TEST</t>
  </si>
  <si>
    <t>STATUS_AND_DATA_VALID_TIMING</t>
  </si>
  <si>
    <t>Enable cover property for GLITCH_RESET_TEST</t>
  </si>
  <si>
    <t>Test Result</t>
  </si>
  <si>
    <t>Interface</t>
  </si>
  <si>
    <t>GLITCH_RESET_TEST: Cover properties are used to verify that the expected stimulus sequences occur during simulation.</t>
  </si>
  <si>
    <t>: Hungpv79</t>
  </si>
  <si>
    <t>: Nhannh18</t>
  </si>
  <si>
    <t>: 08/10/2026 - /2026</t>
  </si>
  <si>
    <t>1. Reset value</t>
  </si>
  <si>
    <t>1. Reset (rstn and rstn_250Mhz)</t>
  </si>
  <si>
    <t xml:space="preserve">3. AXI4-Full </t>
  </si>
  <si>
    <t>4. Register</t>
  </si>
  <si>
    <t>This scenario is verified in read/write register test.</t>
  </si>
  <si>
    <t>1. Handshake</t>
  </si>
  <si>
    <t>2. Single-beat</t>
  </si>
  <si>
    <t>3. INCR burst</t>
  </si>
  <si>
    <t>4. WRAP burst</t>
  </si>
  <si>
    <t>5. WSTRB</t>
  </si>
  <si>
    <t>6. xRESP</t>
  </si>
  <si>
    <t>Protocol checker (VIP)</t>
  </si>
  <si>
    <t>2. Read-write access</t>
  </si>
  <si>
    <t>3. Unaligned address</t>
  </si>
  <si>
    <t>4. Alias offset</t>
  </si>
  <si>
    <t>2. Software reset (only reset core)</t>
  </si>
  <si>
    <r>
      <t xml:space="preserve">2. </t>
    </r>
    <r>
      <rPr>
        <i/>
        <sz val="12"/>
        <color theme="1"/>
        <rFont val="Calibri"/>
        <family val="2"/>
        <scheme val="minor"/>
      </rPr>
      <t xml:space="preserve">interrupt_clear </t>
    </r>
    <r>
      <rPr>
        <sz val="12"/>
        <color theme="1"/>
        <rFont val="Calibri"/>
        <family val="2"/>
        <scheme val="minor"/>
      </rPr>
      <t>(highest priority)</t>
    </r>
  </si>
  <si>
    <r>
      <t xml:space="preserve">1. </t>
    </r>
    <r>
      <rPr>
        <i/>
        <sz val="12"/>
        <color theme="1"/>
        <rFont val="Calibri"/>
        <family val="2"/>
        <scheme val="minor"/>
      </rPr>
      <t>interrupt</t>
    </r>
    <r>
      <rPr>
        <sz val="12"/>
        <color theme="1"/>
        <rFont val="Calibri"/>
        <family val="2"/>
        <scheme val="minor"/>
      </rPr>
      <t xml:space="preserve"> set by 
(</t>
    </r>
    <r>
      <rPr>
        <i/>
        <sz val="12"/>
        <color theme="1"/>
        <rFont val="Calibri"/>
        <family val="2"/>
        <scheme val="minor"/>
      </rPr>
      <t>VLD</t>
    </r>
    <r>
      <rPr>
        <sz val="12"/>
        <color theme="1"/>
        <rFont val="Calibri"/>
        <family val="2"/>
        <scheme val="minor"/>
      </rPr>
      <t xml:space="preserve"> &amp;&amp; </t>
    </r>
    <r>
      <rPr>
        <i/>
        <sz val="12"/>
        <color theme="1"/>
        <rFont val="Calibri"/>
        <family val="2"/>
        <scheme val="minor"/>
      </rPr>
      <t>VLDE</t>
    </r>
    <r>
      <rPr>
        <sz val="12"/>
        <color theme="1"/>
        <rFont val="Calibri"/>
        <family val="2"/>
        <scheme val="minor"/>
      </rPr>
      <t>) || (</t>
    </r>
    <r>
      <rPr>
        <i/>
        <sz val="12"/>
        <color theme="1"/>
        <rFont val="Calibri"/>
        <family val="2"/>
        <scheme val="minor"/>
      </rPr>
      <t>ERR</t>
    </r>
    <r>
      <rPr>
        <sz val="12"/>
        <color theme="1"/>
        <rFont val="Calibri"/>
        <family val="2"/>
        <scheme val="minor"/>
      </rPr>
      <t xml:space="preserve"> &amp;&amp; </t>
    </r>
    <r>
      <rPr>
        <i/>
        <sz val="12"/>
        <color theme="1"/>
        <rFont val="Calibri"/>
        <family val="2"/>
        <scheme val="minor"/>
      </rPr>
      <t>ERRE</t>
    </r>
    <r>
      <rPr>
        <sz val="12"/>
        <color theme="1"/>
        <rFont val="Calibri"/>
        <family val="2"/>
        <scheme val="minor"/>
      </rPr>
      <t>)</t>
    </r>
  </si>
  <si>
    <t>2. SYNC_RESET field:
+) reset when EN field is 0, and no reset when EN field not 0</t>
  </si>
  <si>
    <t>5. Reserved address</t>
  </si>
  <si>
    <t>5. Synchronous behavior</t>
  </si>
  <si>
    <t>1. POS_WIDTH (16 to 32)</t>
  </si>
  <si>
    <t>2. REG_FILE</t>
  </si>
  <si>
    <t>3. MUL_DELAY (1 to 5)</t>
  </si>
  <si>
    <t>4. VERSION</t>
  </si>
  <si>
    <t>5. CLR_CYCLES (1 to 255)</t>
  </si>
  <si>
    <t>6. FFO_PHA_WIDTH</t>
  </si>
  <si>
    <t>7. FFO_N_ITER</t>
  </si>
  <si>
    <t>6. Parameter (set default value as spec)</t>
  </si>
  <si>
    <t>Cover property</t>
  </si>
  <si>
    <t>Clock và Reset</t>
  </si>
  <si>
    <t>Software reset</t>
  </si>
  <si>
    <t>Bản đồ thanh ghi (Register Map)</t>
  </si>
  <si>
    <t>AXI4 Slave (miền clk)
Bản đồ thanh ghi (Register Map)</t>
  </si>
  <si>
    <t>Quá trình đồng bộ (hành vi phần cứng)</t>
  </si>
  <si>
    <t>Xử lý ngắt</t>
  </si>
  <si>
    <t>Chế độ polling</t>
  </si>
  <si>
    <t>Tham số cấu hình (Parameters)</t>
  </si>
  <si>
    <t>Dữ liệu ra và trạng thái (miền clk_250_MHz)</t>
  </si>
  <si>
    <t>1. Reset on the fly: 
+) Reset when synchronization operation (acquisition)
+) Reset when tracking occur
+) Reset when interrupt occur
+) Reset when tracking error occur
+) Reset when caculating time
+) Reset when streaming data out</t>
  </si>
  <si>
    <t>2. Interrupt mode</t>
  </si>
  <si>
    <t>3. Polling mode 
(disable interrupt)</t>
  </si>
  <si>
    <t>4. pos</t>
  </si>
  <si>
    <t>5. pos_valid</t>
  </si>
  <si>
    <t>6. NMSE (check output data)</t>
  </si>
  <si>
    <t>8. tracking_error</t>
  </si>
  <si>
    <t>1. Disabled when EN not active</t>
  </si>
  <si>
    <t>7. m_axis_tvalid low when:
+) EN = 0
+) tracking_error occur 
+) software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</si>
</sst>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62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0"/>
      <name val="Yu Gothic"/>
      <family val="2"/>
    </font>
    <font>
      <sz val="11"/>
      <color theme="1"/>
      <name val="Yu Gothic"/>
      <family val="2"/>
    </font>
    <font>
      <i/>
      <u/>
      <sz val="11"/>
      <color theme="1"/>
      <name val="Yu Gothic"/>
      <family val="2"/>
    </font>
    <font>
      <sz val="9"/>
      <color theme="0"/>
      <name val="Yu Gothic"/>
      <family val="2"/>
    </font>
    <font>
      <sz val="9"/>
      <color theme="1"/>
      <name val="Yu Gothic"/>
      <family val="2"/>
    </font>
    <font>
      <b/>
      <sz val="9"/>
      <color rgb="FF00B050"/>
      <name val="Yu Gothic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color theme="1"/>
      <name val="Yu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0"/>
      <name val="Calibri"/>
      <family val="2"/>
      <scheme val="minor"/>
    </font>
    <font>
      <sz val="11"/>
      <name val="ＭＳ Ｐゴシック"/>
      <family val="3"/>
      <charset val="128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charset val="1"/>
    </font>
    <font>
      <u/>
      <sz val="11"/>
      <color theme="1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b/>
      <u/>
      <sz val="10"/>
      <color theme="1"/>
      <name val="Calibri"/>
      <family val="3"/>
      <charset val="128"/>
      <scheme val="minor"/>
    </font>
    <font>
      <b/>
      <i/>
      <u/>
      <sz val="10"/>
      <color theme="1"/>
      <name val="Calibri"/>
      <family val="3"/>
      <charset val="128"/>
      <scheme val="minor"/>
    </font>
    <font>
      <sz val="10"/>
      <color rgb="FFFF0000"/>
      <name val="Calibri"/>
      <family val="3"/>
      <charset val="128"/>
      <scheme val="minor"/>
    </font>
    <font>
      <sz val="11"/>
      <color rgb="FF0309ED"/>
      <name val="Calibri"/>
      <family val="3"/>
      <charset val="128"/>
      <scheme val="minor"/>
    </font>
    <font>
      <b/>
      <sz val="10"/>
      <color rgb="FFFF0000"/>
      <name val="Calibri"/>
      <family val="3"/>
      <charset val="128"/>
      <scheme val="minor"/>
    </font>
    <font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u/>
      <sz val="1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22"/>
      <color rgb="FFFF0000"/>
      <name val="Calibri"/>
      <family val="3"/>
      <charset val="128"/>
      <scheme val="minor"/>
    </font>
    <font>
      <b/>
      <sz val="10"/>
      <color theme="0"/>
      <name val="Yu Gothic"/>
      <family val="2"/>
    </font>
    <font>
      <sz val="10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Yu Gothic"/>
      <family val="2"/>
    </font>
    <font>
      <sz val="10"/>
      <color rgb="FFFF0000"/>
      <name val="Yu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8" fillId="0" borderId="0"/>
    <xf numFmtId="0" fontId="9" fillId="0" borderId="0"/>
    <xf numFmtId="0" fontId="13" fillId="0" borderId="0" applyNumberFormat="0" applyFill="0" applyBorder="0" applyAlignment="0" applyProtection="0"/>
    <xf numFmtId="164" fontId="13" fillId="0" borderId="0" applyNumberFormat="0" applyFill="0" applyBorder="0" applyAlignment="0" applyProtection="0"/>
    <xf numFmtId="164" fontId="12" fillId="0" borderId="0"/>
    <xf numFmtId="164" fontId="16" fillId="0" borderId="0"/>
    <xf numFmtId="164" fontId="16" fillId="0" borderId="0"/>
    <xf numFmtId="164" fontId="16" fillId="0" borderId="0">
      <alignment vertical="center"/>
    </xf>
    <xf numFmtId="0" fontId="22" fillId="0" borderId="0" applyNumberFormat="0" applyFill="0" applyBorder="0" applyAlignment="0" applyProtection="0"/>
    <xf numFmtId="0" fontId="23" fillId="0" borderId="0"/>
    <xf numFmtId="0" fontId="16" fillId="0" borderId="0"/>
    <xf numFmtId="0" fontId="8" fillId="0" borderId="0"/>
    <xf numFmtId="0" fontId="53" fillId="11" borderId="0" applyNumberFormat="0" applyBorder="0" applyAlignment="0" applyProtection="0"/>
    <xf numFmtId="0" fontId="54" fillId="12" borderId="34" applyNumberFormat="0" applyAlignment="0" applyProtection="0"/>
  </cellStyleXfs>
  <cellXfs count="30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vertical="top"/>
    </xf>
    <xf numFmtId="0" fontId="1" fillId="0" borderId="6" xfId="0" applyFont="1" applyBorder="1" applyAlignment="1">
      <alignment vertical="top"/>
    </xf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6" fillId="0" borderId="0" xfId="0" applyFont="1"/>
    <xf numFmtId="0" fontId="3" fillId="0" borderId="19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7" xfId="0" applyFont="1" applyBorder="1"/>
    <xf numFmtId="0" fontId="3" fillId="0" borderId="11" xfId="0" applyFont="1" applyBorder="1"/>
    <xf numFmtId="0" fontId="2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8" fillId="0" borderId="0" xfId="1"/>
    <xf numFmtId="0" fontId="9" fillId="0" borderId="0" xfId="2"/>
    <xf numFmtId="0" fontId="7" fillId="0" borderId="0" xfId="0" applyFont="1"/>
    <xf numFmtId="0" fontId="11" fillId="0" borderId="0" xfId="0" applyFont="1" applyAlignment="1">
      <alignment vertical="top"/>
    </xf>
    <xf numFmtId="164" fontId="14" fillId="0" borderId="0" xfId="5" applyFont="1" applyAlignment="1">
      <alignment horizontal="left"/>
    </xf>
    <xf numFmtId="164" fontId="15" fillId="0" borderId="0" xfId="4" applyFont="1" applyFill="1" applyAlignment="1">
      <alignment horizontal="left"/>
    </xf>
    <xf numFmtId="164" fontId="17" fillId="0" borderId="0" xfId="6" applyFont="1" applyAlignment="1">
      <alignment vertical="center"/>
    </xf>
    <xf numFmtId="164" fontId="18" fillId="0" borderId="0" xfId="7" applyFont="1" applyAlignment="1">
      <alignment horizontal="left" vertical="top" wrapText="1"/>
    </xf>
    <xf numFmtId="164" fontId="14" fillId="0" borderId="0" xfId="5" applyFont="1" applyAlignment="1">
      <alignment horizontal="left" vertical="center" wrapText="1"/>
    </xf>
    <xf numFmtId="164" fontId="14" fillId="0" borderId="0" xfId="5" applyFont="1" applyAlignment="1">
      <alignment horizontal="left" vertical="top" wrapText="1"/>
    </xf>
    <xf numFmtId="164" fontId="14" fillId="0" borderId="23" xfId="5" applyFont="1" applyBorder="1" applyAlignment="1">
      <alignment horizontal="left" vertical="top" wrapText="1"/>
    </xf>
    <xf numFmtId="164" fontId="14" fillId="0" borderId="10" xfId="5" applyFont="1" applyBorder="1" applyAlignment="1">
      <alignment horizontal="left" vertical="top" wrapText="1"/>
    </xf>
    <xf numFmtId="164" fontId="14" fillId="0" borderId="1" xfId="5" applyFont="1" applyBorder="1" applyAlignment="1">
      <alignment vertical="top" wrapText="1"/>
    </xf>
    <xf numFmtId="164" fontId="14" fillId="0" borderId="1" xfId="5" applyFont="1" applyBorder="1" applyAlignment="1">
      <alignment horizontal="left" vertical="top" wrapText="1"/>
    </xf>
    <xf numFmtId="164" fontId="14" fillId="0" borderId="24" xfId="5" applyFont="1" applyBorder="1" applyAlignment="1">
      <alignment horizontal="left" vertical="top" wrapText="1"/>
    </xf>
    <xf numFmtId="164" fontId="14" fillId="0" borderId="25" xfId="5" applyFont="1" applyBorder="1" applyAlignment="1">
      <alignment horizontal="left" vertical="top" wrapText="1"/>
    </xf>
    <xf numFmtId="164" fontId="18" fillId="0" borderId="1" xfId="5" applyFont="1" applyBorder="1" applyAlignment="1">
      <alignment horizontal="left" vertical="top" wrapText="1"/>
    </xf>
    <xf numFmtId="3" fontId="14" fillId="0" borderId="0" xfId="5" applyNumberFormat="1" applyFont="1" applyAlignment="1">
      <alignment horizontal="left" vertical="top"/>
    </xf>
    <xf numFmtId="3" fontId="14" fillId="0" borderId="0" xfId="5" applyNumberFormat="1" applyFont="1" applyAlignment="1">
      <alignment horizontal="right" vertical="top"/>
    </xf>
    <xf numFmtId="164" fontId="21" fillId="0" borderId="0" xfId="5" applyFont="1"/>
    <xf numFmtId="164" fontId="19" fillId="6" borderId="1" xfId="5" applyFont="1" applyFill="1" applyBorder="1" applyAlignment="1">
      <alignment horizontal="left" vertical="top"/>
    </xf>
    <xf numFmtId="164" fontId="19" fillId="6" borderId="1" xfId="5" applyFont="1" applyFill="1" applyBorder="1" applyAlignment="1">
      <alignment horizontal="left" vertical="top" wrapText="1"/>
    </xf>
    <xf numFmtId="3" fontId="19" fillId="6" borderId="1" xfId="5" quotePrefix="1" applyNumberFormat="1" applyFont="1" applyFill="1" applyBorder="1" applyAlignment="1">
      <alignment horizontal="left" vertical="top" wrapText="1"/>
    </xf>
    <xf numFmtId="3" fontId="19" fillId="6" borderId="1" xfId="5" applyNumberFormat="1" applyFont="1" applyFill="1" applyBorder="1" applyAlignment="1">
      <alignment horizontal="right" vertical="top" wrapText="1"/>
    </xf>
    <xf numFmtId="3" fontId="19" fillId="6" borderId="1" xfId="5" applyNumberFormat="1" applyFont="1" applyFill="1" applyBorder="1" applyAlignment="1">
      <alignment horizontal="left" vertical="top" wrapText="1"/>
    </xf>
    <xf numFmtId="3" fontId="14" fillId="0" borderId="1" xfId="5" applyNumberFormat="1" applyFont="1" applyBorder="1" applyAlignment="1">
      <alignment horizontal="right" vertical="top" wrapText="1"/>
    </xf>
    <xf numFmtId="164" fontId="14" fillId="0" borderId="0" xfId="5" applyFont="1" applyAlignment="1">
      <alignment vertical="center"/>
    </xf>
    <xf numFmtId="164" fontId="18" fillId="0" borderId="0" xfId="8" applyFont="1" applyAlignment="1">
      <alignment vertical="center" wrapText="1"/>
    </xf>
    <xf numFmtId="164" fontId="18" fillId="0" borderId="0" xfId="8" applyFont="1">
      <alignment vertical="center"/>
    </xf>
    <xf numFmtId="0" fontId="2" fillId="0" borderId="0" xfId="0" applyFont="1"/>
    <xf numFmtId="0" fontId="14" fillId="0" borderId="1" xfId="0" applyFont="1" applyBorder="1" applyAlignment="1">
      <alignment horizontal="left" vertical="top"/>
    </xf>
    <xf numFmtId="0" fontId="25" fillId="0" borderId="0" xfId="10" applyFont="1" applyAlignment="1">
      <alignment vertical="top"/>
    </xf>
    <xf numFmtId="0" fontId="24" fillId="0" borderId="0" xfId="10" applyFont="1" applyAlignment="1">
      <alignment horizontal="left"/>
    </xf>
    <xf numFmtId="0" fontId="25" fillId="0" borderId="0" xfId="10" quotePrefix="1" applyFont="1" applyAlignment="1">
      <alignment vertical="top"/>
    </xf>
    <xf numFmtId="0" fontId="25" fillId="0" borderId="0" xfId="10" applyFont="1" applyAlignment="1">
      <alignment horizontal="left" vertical="top"/>
    </xf>
    <xf numFmtId="0" fontId="26" fillId="0" borderId="0" xfId="11" applyFont="1" applyAlignment="1">
      <alignment vertical="top"/>
    </xf>
    <xf numFmtId="0" fontId="27" fillId="0" borderId="0" xfId="10" applyFont="1" applyAlignment="1">
      <alignment horizontal="left" vertical="top"/>
    </xf>
    <xf numFmtId="0" fontId="24" fillId="0" borderId="0" xfId="10" applyFont="1" applyAlignment="1">
      <alignment vertical="top"/>
    </xf>
    <xf numFmtId="0" fontId="28" fillId="0" borderId="0" xfId="10" applyFont="1" applyAlignment="1">
      <alignment horizontal="left"/>
    </xf>
    <xf numFmtId="0" fontId="24" fillId="0" borderId="0" xfId="10" quotePrefix="1" applyFont="1" applyAlignment="1">
      <alignment horizontal="left"/>
    </xf>
    <xf numFmtId="0" fontId="28" fillId="0" borderId="0" xfId="10" quotePrefix="1" applyFont="1" applyAlignment="1">
      <alignment horizontal="left"/>
    </xf>
    <xf numFmtId="0" fontId="25" fillId="0" borderId="0" xfId="10" applyFont="1" applyAlignment="1">
      <alignment horizontal="left"/>
    </xf>
    <xf numFmtId="0" fontId="29" fillId="0" borderId="0" xfId="10" applyFont="1" applyAlignment="1">
      <alignment horizontal="center"/>
    </xf>
    <xf numFmtId="0" fontId="29" fillId="0" borderId="0" xfId="10" applyFont="1"/>
    <xf numFmtId="0" fontId="30" fillId="0" borderId="0" xfId="10" applyFont="1" applyAlignment="1">
      <alignment horizontal="left"/>
    </xf>
    <xf numFmtId="0" fontId="24" fillId="0" borderId="0" xfId="10" quotePrefix="1" applyFont="1" applyAlignment="1">
      <alignment horizontal="left" indent="1"/>
    </xf>
    <xf numFmtId="0" fontId="24" fillId="0" borderId="0" xfId="10" quotePrefix="1" applyFont="1" applyAlignment="1">
      <alignment horizontal="left" indent="2"/>
    </xf>
    <xf numFmtId="0" fontId="24" fillId="0" borderId="0" xfId="10" applyFont="1" applyAlignment="1">
      <alignment horizontal="left" indent="3"/>
    </xf>
    <xf numFmtId="0" fontId="14" fillId="0" borderId="0" xfId="3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7" fillId="0" borderId="0" xfId="11" applyFont="1" applyAlignment="1">
      <alignment horizontal="left" vertical="top"/>
    </xf>
    <xf numFmtId="0" fontId="31" fillId="0" borderId="0" xfId="0" applyFont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32" fillId="2" borderId="0" xfId="0" applyFont="1" applyFill="1"/>
    <xf numFmtId="164" fontId="33" fillId="0" borderId="0" xfId="8" applyFont="1">
      <alignment vertical="center"/>
    </xf>
    <xf numFmtId="164" fontId="18" fillId="0" borderId="0" xfId="5" applyFont="1" applyAlignment="1">
      <alignment vertical="center"/>
    </xf>
    <xf numFmtId="164" fontId="33" fillId="0" borderId="1" xfId="5" quotePrefix="1" applyFont="1" applyBorder="1" applyAlignment="1">
      <alignment vertical="center"/>
    </xf>
    <xf numFmtId="164" fontId="18" fillId="0" borderId="12" xfId="5" applyFont="1" applyBorder="1" applyAlignment="1">
      <alignment vertical="center"/>
    </xf>
    <xf numFmtId="164" fontId="18" fillId="0" borderId="1" xfId="5" applyFont="1" applyBorder="1" applyAlignment="1">
      <alignment horizontal="left" vertical="center" wrapText="1"/>
    </xf>
    <xf numFmtId="164" fontId="33" fillId="7" borderId="1" xfId="5" applyFont="1" applyFill="1" applyBorder="1" applyAlignment="1">
      <alignment vertical="center"/>
    </xf>
    <xf numFmtId="164" fontId="33" fillId="0" borderId="1" xfId="5" applyFont="1" applyBorder="1" applyAlignment="1">
      <alignment vertical="center"/>
    </xf>
    <xf numFmtId="164" fontId="18" fillId="0" borderId="12" xfId="5" applyFont="1" applyBorder="1" applyAlignment="1">
      <alignment vertical="center" wrapText="1"/>
    </xf>
    <xf numFmtId="0" fontId="32" fillId="0" borderId="0" xfId="0" applyFont="1" applyAlignment="1">
      <alignment horizontal="left"/>
    </xf>
    <xf numFmtId="0" fontId="34" fillId="0" borderId="19" xfId="0" applyFont="1" applyBorder="1"/>
    <xf numFmtId="0" fontId="34" fillId="0" borderId="13" xfId="0" applyFont="1" applyBorder="1"/>
    <xf numFmtId="0" fontId="34" fillId="0" borderId="0" xfId="0" applyFont="1"/>
    <xf numFmtId="0" fontId="34" fillId="0" borderId="14" xfId="0" applyFont="1" applyBorder="1"/>
    <xf numFmtId="0" fontId="34" fillId="0" borderId="17" xfId="0" applyFont="1" applyBorder="1"/>
    <xf numFmtId="0" fontId="34" fillId="0" borderId="11" xfId="0" applyFont="1" applyBorder="1"/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14" fontId="34" fillId="0" borderId="1" xfId="0" applyNumberFormat="1" applyFont="1" applyBorder="1"/>
    <xf numFmtId="0" fontId="35" fillId="0" borderId="18" xfId="0" applyFont="1" applyBorder="1"/>
    <xf numFmtId="0" fontId="14" fillId="0" borderId="15" xfId="0" quotePrefix="1" applyFont="1" applyBorder="1"/>
    <xf numFmtId="0" fontId="14" fillId="0" borderId="16" xfId="0" quotePrefix="1" applyFont="1" applyBorder="1"/>
    <xf numFmtId="0" fontId="36" fillId="2" borderId="1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quotePrefix="1" applyFont="1" applyBorder="1"/>
    <xf numFmtId="0" fontId="14" fillId="0" borderId="1" xfId="0" applyFont="1" applyBorder="1"/>
    <xf numFmtId="0" fontId="38" fillId="0" borderId="0" xfId="0" applyFont="1" applyAlignment="1">
      <alignment vertical="top"/>
    </xf>
    <xf numFmtId="0" fontId="39" fillId="0" borderId="0" xfId="0" applyFont="1" applyAlignment="1">
      <alignment vertical="top"/>
    </xf>
    <xf numFmtId="0" fontId="14" fillId="0" borderId="15" xfId="0" applyFont="1" applyBorder="1"/>
    <xf numFmtId="0" fontId="42" fillId="0" borderId="0" xfId="0" applyFont="1"/>
    <xf numFmtId="0" fontId="31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/>
    </xf>
    <xf numFmtId="0" fontId="43" fillId="4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top"/>
    </xf>
    <xf numFmtId="0" fontId="31" fillId="2" borderId="1" xfId="0" applyFont="1" applyFill="1" applyBorder="1" applyAlignment="1">
      <alignment horizontal="left" vertical="top" wrapText="1"/>
    </xf>
    <xf numFmtId="164" fontId="36" fillId="2" borderId="23" xfId="5" applyFont="1" applyFill="1" applyBorder="1" applyAlignment="1">
      <alignment horizontal="left" vertical="center"/>
    </xf>
    <xf numFmtId="164" fontId="36" fillId="2" borderId="1" xfId="5" applyFont="1" applyFill="1" applyBorder="1" applyAlignment="1">
      <alignment horizontal="left" vertical="center"/>
    </xf>
    <xf numFmtId="164" fontId="36" fillId="2" borderId="1" xfId="5" applyFont="1" applyFill="1" applyBorder="1" applyAlignment="1">
      <alignment vertical="center"/>
    </xf>
    <xf numFmtId="164" fontId="36" fillId="2" borderId="12" xfId="5" applyFont="1" applyFill="1" applyBorder="1" applyAlignment="1">
      <alignment vertical="center"/>
    </xf>
    <xf numFmtId="0" fontId="20" fillId="0" borderId="1" xfId="0" applyFont="1" applyBorder="1" applyAlignment="1">
      <alignment horizontal="left" vertical="top"/>
    </xf>
    <xf numFmtId="0" fontId="44" fillId="0" borderId="0" xfId="10" applyFont="1" applyAlignment="1">
      <alignment horizontal="left"/>
    </xf>
    <xf numFmtId="0" fontId="31" fillId="2" borderId="14" xfId="0" applyFont="1" applyFill="1" applyBorder="1" applyAlignment="1">
      <alignment horizontal="center" vertical="center"/>
    </xf>
    <xf numFmtId="3" fontId="43" fillId="4" borderId="1" xfId="0" applyNumberFormat="1" applyFont="1" applyFill="1" applyBorder="1" applyAlignment="1">
      <alignment horizontal="center" vertical="center"/>
    </xf>
    <xf numFmtId="164" fontId="14" fillId="0" borderId="24" xfId="5" applyFont="1" applyBorder="1" applyAlignment="1">
      <alignment vertical="top" wrapText="1"/>
    </xf>
    <xf numFmtId="164" fontId="14" fillId="0" borderId="23" xfId="5" applyFont="1" applyBorder="1" applyAlignment="1">
      <alignment vertical="top" wrapText="1"/>
    </xf>
    <xf numFmtId="164" fontId="14" fillId="0" borderId="1" xfId="5" quotePrefix="1" applyFont="1" applyBorder="1" applyAlignment="1">
      <alignment vertical="top" wrapText="1"/>
    </xf>
    <xf numFmtId="164" fontId="18" fillId="0" borderId="24" xfId="5" applyFont="1" applyBorder="1" applyAlignment="1">
      <alignment horizontal="left" vertical="top" wrapText="1"/>
    </xf>
    <xf numFmtId="164" fontId="18" fillId="0" borderId="23" xfId="5" applyFont="1" applyBorder="1" applyAlignment="1">
      <alignment horizontal="left" vertical="top" wrapText="1"/>
    </xf>
    <xf numFmtId="0" fontId="2" fillId="2" borderId="0" xfId="0" applyFont="1" applyFill="1" applyAlignment="1">
      <alignment wrapText="1"/>
    </xf>
    <xf numFmtId="164" fontId="14" fillId="0" borderId="0" xfId="5" applyFont="1" applyAlignment="1">
      <alignment horizontal="left" wrapText="1"/>
    </xf>
    <xf numFmtId="164" fontId="36" fillId="2" borderId="1" xfId="5" applyFont="1" applyFill="1" applyBorder="1" applyAlignment="1">
      <alignment horizontal="left" vertical="center" wrapText="1"/>
    </xf>
    <xf numFmtId="0" fontId="2" fillId="2" borderId="0" xfId="0" applyFont="1" applyFill="1" applyAlignment="1"/>
    <xf numFmtId="0" fontId="0" fillId="0" borderId="25" xfId="0" applyBorder="1"/>
    <xf numFmtId="0" fontId="0" fillId="0" borderId="24" xfId="0" applyBorder="1"/>
    <xf numFmtId="164" fontId="14" fillId="0" borderId="1" xfId="5" applyFont="1" applyFill="1" applyBorder="1" applyAlignment="1">
      <alignment horizontal="left" vertical="top" wrapText="1"/>
    </xf>
    <xf numFmtId="164" fontId="14" fillId="0" borderId="15" xfId="5" applyFont="1" applyBorder="1" applyAlignment="1">
      <alignment horizontal="left" vertical="top" wrapText="1"/>
    </xf>
    <xf numFmtId="0" fontId="45" fillId="2" borderId="0" xfId="0" applyFont="1" applyFill="1" applyAlignment="1">
      <alignment wrapText="1"/>
    </xf>
    <xf numFmtId="0" fontId="14" fillId="0" borderId="16" xfId="5" applyNumberFormat="1" applyFont="1" applyBorder="1" applyAlignment="1">
      <alignment horizontal="left" vertical="top" wrapText="1"/>
    </xf>
    <xf numFmtId="0" fontId="14" fillId="0" borderId="12" xfId="0" applyFont="1" applyBorder="1"/>
    <xf numFmtId="0" fontId="14" fillId="0" borderId="23" xfId="0" applyFont="1" applyBorder="1"/>
    <xf numFmtId="0" fontId="14" fillId="0" borderId="24" xfId="5" applyNumberFormat="1" applyFont="1" applyBorder="1" applyAlignment="1">
      <alignment horizontal="right" vertical="top" wrapText="1"/>
    </xf>
    <xf numFmtId="164" fontId="14" fillId="0" borderId="13" xfId="5" applyFont="1" applyBorder="1" applyAlignment="1">
      <alignment horizontal="left" vertical="top" wrapText="1"/>
    </xf>
    <xf numFmtId="164" fontId="18" fillId="0" borderId="10" xfId="5" applyFont="1" applyBorder="1" applyAlignment="1">
      <alignment horizontal="left" vertical="top" wrapText="1"/>
    </xf>
    <xf numFmtId="164" fontId="18" fillId="0" borderId="11" xfId="5" applyFont="1" applyBorder="1" applyAlignment="1">
      <alignment horizontal="left" vertical="top" wrapText="1"/>
    </xf>
    <xf numFmtId="164" fontId="14" fillId="0" borderId="26" xfId="5" applyFont="1" applyBorder="1" applyAlignment="1">
      <alignment horizontal="left" wrapText="1"/>
    </xf>
    <xf numFmtId="164" fontId="36" fillId="2" borderId="25" xfId="5" applyFont="1" applyFill="1" applyBorder="1" applyAlignment="1">
      <alignment horizontal="left" vertical="center" wrapText="1"/>
    </xf>
    <xf numFmtId="164" fontId="36" fillId="2" borderId="12" xfId="5" applyFont="1" applyFill="1" applyBorder="1" applyAlignment="1">
      <alignment horizontal="left" vertical="center" wrapText="1"/>
    </xf>
    <xf numFmtId="0" fontId="14" fillId="0" borderId="15" xfId="0" applyFont="1" applyBorder="1" applyAlignment="1">
      <alignment vertical="top"/>
    </xf>
    <xf numFmtId="164" fontId="36" fillId="2" borderId="10" xfId="5" applyFont="1" applyFill="1" applyBorder="1" applyAlignment="1">
      <alignment horizontal="left" vertical="center" wrapText="1"/>
    </xf>
    <xf numFmtId="164" fontId="14" fillId="0" borderId="25" xfId="5" applyFont="1" applyBorder="1" applyAlignment="1">
      <alignment vertical="top" wrapText="1"/>
    </xf>
    <xf numFmtId="164" fontId="14" fillId="0" borderId="24" xfId="5" applyFont="1" applyFill="1" applyBorder="1" applyAlignment="1">
      <alignment horizontal="left" vertical="top" wrapText="1"/>
    </xf>
    <xf numFmtId="0" fontId="0" fillId="0" borderId="1" xfId="0" applyBorder="1"/>
    <xf numFmtId="164" fontId="14" fillId="0" borderId="12" xfId="5" applyFont="1" applyBorder="1" applyAlignment="1">
      <alignment horizontal="left" vertical="top" wrapText="1"/>
    </xf>
    <xf numFmtId="0" fontId="14" fillId="0" borderId="1" xfId="5" applyNumberFormat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164" fontId="14" fillId="0" borderId="0" xfId="5" applyFont="1" applyBorder="1" applyAlignment="1">
      <alignment horizontal="left" vertical="top"/>
    </xf>
    <xf numFmtId="0" fontId="2" fillId="2" borderId="0" xfId="0" applyFont="1" applyFill="1" applyAlignment="1">
      <alignment vertical="top"/>
    </xf>
    <xf numFmtId="0" fontId="0" fillId="0" borderId="0" xfId="0" applyBorder="1" applyAlignment="1">
      <alignment vertical="top"/>
    </xf>
    <xf numFmtId="0" fontId="2" fillId="2" borderId="0" xfId="0" applyFont="1" applyFill="1" applyAlignment="1">
      <alignment vertical="top" wrapText="1"/>
    </xf>
    <xf numFmtId="0" fontId="45" fillId="2" borderId="0" xfId="0" applyFont="1" applyFill="1" applyAlignment="1">
      <alignment vertical="top" wrapText="1"/>
    </xf>
    <xf numFmtId="0" fontId="0" fillId="0" borderId="0" xfId="0"/>
    <xf numFmtId="164" fontId="14" fillId="0" borderId="0" xfId="5" applyFont="1" applyAlignment="1">
      <alignment horizontal="left" vertical="top" wrapText="1"/>
    </xf>
    <xf numFmtId="164" fontId="14" fillId="0" borderId="1" xfId="5" applyFont="1" applyBorder="1" applyAlignment="1">
      <alignment vertical="top" wrapText="1"/>
    </xf>
    <xf numFmtId="164" fontId="14" fillId="0" borderId="1" xfId="5" applyFont="1" applyBorder="1" applyAlignment="1">
      <alignment horizontal="left" vertical="top" wrapText="1"/>
    </xf>
    <xf numFmtId="164" fontId="14" fillId="0" borderId="0" xfId="5" applyFont="1" applyAlignment="1">
      <alignment horizontal="left" vertical="top"/>
    </xf>
    <xf numFmtId="3" fontId="14" fillId="0" borderId="1" xfId="5" applyNumberFormat="1" applyFont="1" applyBorder="1" applyAlignment="1">
      <alignment horizontal="left" vertical="top" wrapText="1"/>
    </xf>
    <xf numFmtId="3" fontId="14" fillId="5" borderId="1" xfId="5" applyNumberFormat="1" applyFont="1" applyFill="1" applyBorder="1" applyAlignment="1">
      <alignment horizontal="right" vertical="top" wrapText="1"/>
    </xf>
    <xf numFmtId="3" fontId="14" fillId="5" borderId="1" xfId="5" applyNumberFormat="1" applyFont="1" applyFill="1" applyBorder="1" applyAlignment="1">
      <alignment horizontal="left" vertical="top" wrapText="1"/>
    </xf>
    <xf numFmtId="164" fontId="14" fillId="0" borderId="0" xfId="5" applyFont="1" applyBorder="1" applyAlignment="1">
      <alignment horizontal="left" vertical="top" wrapText="1"/>
    </xf>
    <xf numFmtId="164" fontId="18" fillId="0" borderId="0" xfId="5" applyFont="1" applyBorder="1" applyAlignment="1">
      <alignment horizontal="left" vertical="top" wrapText="1"/>
    </xf>
    <xf numFmtId="0" fontId="0" fillId="0" borderId="0" xfId="0" applyAlignment="1">
      <alignment vertical="top"/>
    </xf>
    <xf numFmtId="164" fontId="36" fillId="2" borderId="28" xfId="5" applyFont="1" applyFill="1" applyBorder="1" applyAlignment="1">
      <alignment horizontal="left" vertical="top" wrapText="1"/>
    </xf>
    <xf numFmtId="164" fontId="36" fillId="2" borderId="29" xfId="5" applyFont="1" applyFill="1" applyBorder="1" applyAlignment="1">
      <alignment horizontal="left" vertical="top" wrapText="1"/>
    </xf>
    <xf numFmtId="164" fontId="36" fillId="2" borderId="29" xfId="5" applyFont="1" applyFill="1" applyBorder="1" applyAlignment="1">
      <alignment horizontal="left" vertical="top"/>
    </xf>
    <xf numFmtId="164" fontId="36" fillId="2" borderId="27" xfId="5" applyFont="1" applyFill="1" applyBorder="1" applyAlignment="1">
      <alignment horizontal="left" vertical="top" wrapText="1"/>
    </xf>
    <xf numFmtId="164" fontId="36" fillId="2" borderId="25" xfId="5" applyFont="1" applyFill="1" applyBorder="1" applyAlignment="1">
      <alignment horizontal="left" vertical="top" wrapText="1"/>
    </xf>
    <xf numFmtId="164" fontId="36" fillId="2" borderId="25" xfId="5" applyFont="1" applyFill="1" applyBorder="1" applyAlignment="1">
      <alignment horizontal="left" vertical="top"/>
    </xf>
    <xf numFmtId="0" fontId="8" fillId="0" borderId="0" xfId="12"/>
    <xf numFmtId="0" fontId="8" fillId="0" borderId="0" xfId="12" applyAlignment="1">
      <alignment vertical="center"/>
    </xf>
    <xf numFmtId="3" fontId="20" fillId="0" borderId="1" xfId="5" applyNumberFormat="1" applyFont="1" applyBorder="1" applyAlignment="1">
      <alignment horizontal="left" vertical="top" wrapText="1"/>
    </xf>
    <xf numFmtId="3" fontId="20" fillId="5" borderId="1" xfId="5" applyNumberFormat="1" applyFont="1" applyFill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47" fillId="0" borderId="0" xfId="10" applyFont="1" applyAlignment="1">
      <alignment horizontal="left"/>
    </xf>
    <xf numFmtId="3" fontId="43" fillId="4" borderId="1" xfId="0" quotePrefix="1" applyNumberFormat="1" applyFont="1" applyFill="1" applyBorder="1" applyAlignment="1">
      <alignment horizontal="center" vertical="center"/>
    </xf>
    <xf numFmtId="164" fontId="50" fillId="0" borderId="31" xfId="5" applyFont="1" applyBorder="1" applyAlignment="1">
      <alignment horizontal="left" vertical="top" wrapText="1"/>
    </xf>
    <xf numFmtId="164" fontId="50" fillId="0" borderId="1" xfId="5" applyFont="1" applyBorder="1" applyAlignment="1">
      <alignment horizontal="left" vertical="top" wrapText="1"/>
    </xf>
    <xf numFmtId="164" fontId="50" fillId="0" borderId="25" xfId="5" applyFont="1" applyBorder="1" applyAlignment="1">
      <alignment horizontal="left" vertical="top" wrapText="1"/>
    </xf>
    <xf numFmtId="164" fontId="50" fillId="0" borderId="30" xfId="5" applyFont="1" applyBorder="1" applyAlignment="1">
      <alignment horizontal="left" vertical="top" wrapText="1"/>
    </xf>
    <xf numFmtId="164" fontId="50" fillId="0" borderId="27" xfId="5" applyFont="1" applyBorder="1" applyAlignment="1">
      <alignment horizontal="left" vertical="top" wrapText="1"/>
    </xf>
    <xf numFmtId="0" fontId="50" fillId="0" borderId="25" xfId="0" applyFont="1" applyBorder="1" applyAlignment="1">
      <alignment vertical="top"/>
    </xf>
    <xf numFmtId="164" fontId="50" fillId="0" borderId="24" xfId="5" applyFont="1" applyBorder="1" applyAlignment="1">
      <alignment horizontal="left" vertical="top" wrapText="1"/>
    </xf>
    <xf numFmtId="0" fontId="50" fillId="0" borderId="0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1" xfId="0" applyFont="1" applyBorder="1" applyAlignment="1">
      <alignment vertical="top"/>
    </xf>
    <xf numFmtId="164" fontId="51" fillId="0" borderId="1" xfId="5" applyFont="1" applyBorder="1" applyAlignment="1">
      <alignment horizontal="left" vertical="top" wrapText="1"/>
    </xf>
    <xf numFmtId="164" fontId="50" fillId="0" borderId="1" xfId="5" applyFont="1" applyBorder="1" applyAlignment="1">
      <alignment vertical="top" wrapText="1"/>
    </xf>
    <xf numFmtId="164" fontId="52" fillId="0" borderId="1" xfId="5" applyFont="1" applyBorder="1" applyAlignment="1">
      <alignment horizontal="left" vertical="top" wrapText="1"/>
    </xf>
    <xf numFmtId="164" fontId="50" fillId="0" borderId="1" xfId="5" applyFont="1" applyFill="1" applyBorder="1" applyAlignment="1">
      <alignment horizontal="left" vertical="top" wrapText="1"/>
    </xf>
    <xf numFmtId="0" fontId="50" fillId="0" borderId="1" xfId="0" applyFont="1" applyBorder="1" applyAlignment="1">
      <alignment vertical="top" wrapText="1"/>
    </xf>
    <xf numFmtId="0" fontId="50" fillId="0" borderId="1" xfId="5" applyNumberFormat="1" applyFont="1" applyBorder="1" applyAlignment="1">
      <alignment horizontal="right" vertical="top" wrapText="1"/>
    </xf>
    <xf numFmtId="0" fontId="50" fillId="0" borderId="1" xfId="5" applyNumberFormat="1" applyFont="1" applyBorder="1" applyAlignment="1">
      <alignment horizontal="left" vertical="top" wrapText="1"/>
    </xf>
    <xf numFmtId="164" fontId="50" fillId="0" borderId="23" xfId="5" applyFont="1" applyBorder="1" applyAlignment="1">
      <alignment horizontal="left" vertical="top" wrapText="1"/>
    </xf>
    <xf numFmtId="0" fontId="50" fillId="0" borderId="23" xfId="0" applyFont="1" applyBorder="1" applyAlignment="1">
      <alignment vertical="top"/>
    </xf>
    <xf numFmtId="164" fontId="51" fillId="0" borderId="23" xfId="5" applyFont="1" applyBorder="1" applyAlignment="1">
      <alignment horizontal="left" vertical="top" wrapText="1"/>
    </xf>
    <xf numFmtId="164" fontId="50" fillId="0" borderId="32" xfId="5" applyFont="1" applyBorder="1" applyAlignment="1">
      <alignment horizontal="left" vertical="top" wrapText="1"/>
    </xf>
    <xf numFmtId="164" fontId="36" fillId="2" borderId="24" xfId="5" applyFont="1" applyFill="1" applyBorder="1" applyAlignment="1">
      <alignment horizontal="left" vertical="top"/>
    </xf>
    <xf numFmtId="164" fontId="36" fillId="2" borderId="33" xfId="5" applyFont="1" applyFill="1" applyBorder="1" applyAlignment="1">
      <alignment horizontal="left" vertical="top"/>
    </xf>
    <xf numFmtId="164" fontId="14" fillId="0" borderId="1" xfId="5" applyFont="1" applyBorder="1" applyAlignment="1">
      <alignment horizontal="center" vertical="center" wrapText="1"/>
    </xf>
    <xf numFmtId="0" fontId="48" fillId="0" borderId="0" xfId="0" applyFont="1" applyBorder="1" applyAlignment="1">
      <alignment horizontal="left" vertical="top"/>
    </xf>
    <xf numFmtId="0" fontId="31" fillId="2" borderId="1" xfId="0" applyFont="1" applyFill="1" applyBorder="1" applyAlignment="1">
      <alignment vertical="top"/>
    </xf>
    <xf numFmtId="0" fontId="14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48" fillId="0" borderId="0" xfId="0" applyFont="1" applyBorder="1" applyAlignment="1">
      <alignment vertical="top"/>
    </xf>
    <xf numFmtId="0" fontId="48" fillId="0" borderId="0" xfId="0" applyFont="1" applyBorder="1" applyAlignment="1">
      <alignment horizontal="left" vertical="top" wrapText="1"/>
    </xf>
    <xf numFmtId="0" fontId="49" fillId="0" borderId="0" xfId="0" applyFont="1" applyBorder="1" applyAlignment="1">
      <alignment horizontal="left" vertical="top"/>
    </xf>
    <xf numFmtId="0" fontId="48" fillId="0" borderId="0" xfId="0" quotePrefix="1" applyFont="1" applyBorder="1" applyAlignment="1">
      <alignment horizontal="left" vertical="top" wrapText="1"/>
    </xf>
    <xf numFmtId="0" fontId="47" fillId="10" borderId="0" xfId="10" applyFont="1" applyFill="1" applyAlignment="1">
      <alignment horizontal="left"/>
    </xf>
    <xf numFmtId="0" fontId="24" fillId="10" borderId="0" xfId="10" applyFont="1" applyFill="1" applyAlignment="1">
      <alignment horizontal="left"/>
    </xf>
    <xf numFmtId="0" fontId="39" fillId="0" borderId="0" xfId="0" applyFont="1"/>
    <xf numFmtId="0" fontId="55" fillId="12" borderId="34" xfId="14" applyFont="1"/>
    <xf numFmtId="0" fontId="39" fillId="0" borderId="0" xfId="0" applyFont="1" applyAlignment="1">
      <alignment vertical="center" wrapText="1"/>
    </xf>
    <xf numFmtId="0" fontId="57" fillId="11" borderId="35" xfId="13" applyFont="1" applyBorder="1"/>
    <xf numFmtId="0" fontId="39" fillId="0" borderId="0" xfId="0" quotePrefix="1" applyFont="1" applyAlignment="1">
      <alignment wrapText="1"/>
    </xf>
    <xf numFmtId="0" fontId="39" fillId="0" borderId="0" xfId="0" applyFont="1" applyAlignment="1">
      <alignment wrapText="1"/>
    </xf>
    <xf numFmtId="0" fontId="0" fillId="0" borderId="0" xfId="0" applyFont="1"/>
    <xf numFmtId="0" fontId="0" fillId="5" borderId="0" xfId="0" applyFill="1"/>
    <xf numFmtId="0" fontId="28" fillId="0" borderId="0" xfId="10" applyFont="1" applyFill="1" applyAlignment="1">
      <alignment horizontal="left"/>
    </xf>
    <xf numFmtId="0" fontId="59" fillId="0" borderId="0" xfId="0" applyFont="1" applyFill="1"/>
    <xf numFmtId="0" fontId="39" fillId="0" borderId="0" xfId="0" applyFont="1" applyAlignment="1">
      <alignment horizontal="center" wrapText="1"/>
    </xf>
    <xf numFmtId="164" fontId="50" fillId="0" borderId="1" xfId="5" applyFont="1" applyBorder="1" applyAlignment="1">
      <alignment horizontal="center" vertical="top" wrapText="1"/>
    </xf>
    <xf numFmtId="164" fontId="50" fillId="0" borderId="23" xfId="5" applyFont="1" applyBorder="1" applyAlignment="1">
      <alignment horizontal="center" vertical="top" wrapText="1"/>
    </xf>
    <xf numFmtId="164" fontId="50" fillId="0" borderId="1" xfId="5" applyFont="1" applyBorder="1" applyAlignment="1">
      <alignment horizontal="center" vertical="center" wrapText="1"/>
    </xf>
    <xf numFmtId="0" fontId="14" fillId="0" borderId="15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48" fillId="0" borderId="0" xfId="0" applyFont="1" applyBorder="1" applyAlignment="1">
      <alignment vertical="center"/>
    </xf>
    <xf numFmtId="0" fontId="14" fillId="0" borderId="10" xfId="0" applyFont="1" applyBorder="1" applyAlignment="1">
      <alignment vertical="top"/>
    </xf>
    <xf numFmtId="0" fontId="31" fillId="2" borderId="18" xfId="0" applyFont="1" applyFill="1" applyBorder="1" applyAlignment="1">
      <alignment vertical="top"/>
    </xf>
    <xf numFmtId="0" fontId="14" fillId="0" borderId="24" xfId="0" applyFont="1" applyBorder="1" applyAlignment="1">
      <alignment vertical="center"/>
    </xf>
    <xf numFmtId="0" fontId="0" fillId="0" borderId="0" xfId="0" applyFill="1"/>
    <xf numFmtId="0" fontId="14" fillId="0" borderId="1" xfId="0" applyFont="1" applyBorder="1" applyAlignment="1">
      <alignment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left"/>
    </xf>
    <xf numFmtId="0" fontId="36" fillId="3" borderId="20" xfId="0" applyFont="1" applyFill="1" applyBorder="1" applyAlignment="1">
      <alignment horizontal="center" vertical="center"/>
    </xf>
    <xf numFmtId="0" fontId="36" fillId="3" borderId="21" xfId="0" applyFont="1" applyFill="1" applyBorder="1" applyAlignment="1">
      <alignment horizontal="center" vertical="center"/>
    </xf>
    <xf numFmtId="3" fontId="31" fillId="2" borderId="1" xfId="5" applyNumberFormat="1" applyFont="1" applyFill="1" applyBorder="1" applyAlignment="1">
      <alignment horizontal="left" vertical="top" wrapText="1"/>
    </xf>
    <xf numFmtId="3" fontId="31" fillId="2" borderId="23" xfId="5" applyNumberFormat="1" applyFont="1" applyFill="1" applyBorder="1" applyAlignment="1">
      <alignment horizontal="left" vertical="top" wrapText="1"/>
    </xf>
    <xf numFmtId="3" fontId="31" fillId="2" borderId="24" xfId="5" applyNumberFormat="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3" fontId="14" fillId="9" borderId="12" xfId="5" applyNumberFormat="1" applyFont="1" applyFill="1" applyBorder="1" applyAlignment="1">
      <alignment horizontal="center" vertical="top"/>
    </xf>
    <xf numFmtId="3" fontId="14" fillId="9" borderId="26" xfId="5" applyNumberFormat="1" applyFont="1" applyFill="1" applyBorder="1" applyAlignment="1">
      <alignment horizontal="center" vertical="top"/>
    </xf>
    <xf numFmtId="3" fontId="14" fillId="9" borderId="10" xfId="5" applyNumberFormat="1" applyFont="1" applyFill="1" applyBorder="1" applyAlignment="1">
      <alignment horizontal="center" vertical="top"/>
    </xf>
    <xf numFmtId="3" fontId="14" fillId="8" borderId="1" xfId="5" applyNumberFormat="1" applyFont="1" applyFill="1" applyBorder="1" applyAlignment="1">
      <alignment horizontal="center" vertical="top"/>
    </xf>
    <xf numFmtId="3" fontId="14" fillId="10" borderId="1" xfId="5" applyNumberFormat="1" applyFont="1" applyFill="1" applyBorder="1" applyAlignment="1">
      <alignment horizontal="center" vertical="top"/>
    </xf>
    <xf numFmtId="164" fontId="31" fillId="2" borderId="18" xfId="5" applyFont="1" applyFill="1" applyBorder="1" applyAlignment="1">
      <alignment horizontal="left" vertical="top"/>
    </xf>
    <xf numFmtId="164" fontId="31" fillId="2" borderId="13" xfId="5" applyFont="1" applyFill="1" applyBorder="1" applyAlignment="1">
      <alignment horizontal="left" vertical="top"/>
    </xf>
    <xf numFmtId="164" fontId="31" fillId="2" borderId="16" xfId="5" applyFont="1" applyFill="1" applyBorder="1" applyAlignment="1">
      <alignment horizontal="left" vertical="top"/>
    </xf>
    <xf numFmtId="164" fontId="31" fillId="2" borderId="11" xfId="5" applyFont="1" applyFill="1" applyBorder="1" applyAlignment="1">
      <alignment horizontal="left" vertical="top"/>
    </xf>
    <xf numFmtId="3" fontId="31" fillId="2" borderId="1" xfId="5" applyNumberFormat="1" applyFont="1" applyFill="1" applyBorder="1" applyAlignment="1">
      <alignment horizontal="center" vertical="top" wrapText="1"/>
    </xf>
    <xf numFmtId="164" fontId="50" fillId="0" borderId="5" xfId="5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50" fillId="0" borderId="1" xfId="0" applyFont="1" applyBorder="1"/>
    <xf numFmtId="0" fontId="50" fillId="0" borderId="0" xfId="0" applyFont="1"/>
    <xf numFmtId="0" fontId="50" fillId="0" borderId="27" xfId="0" applyFont="1" applyBorder="1" applyAlignment="1">
      <alignment vertical="top"/>
    </xf>
    <xf numFmtId="0" fontId="50" fillId="0" borderId="27" xfId="0" applyFont="1" applyBorder="1"/>
    <xf numFmtId="0" fontId="0" fillId="0" borderId="32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5" xfId="0" applyBorder="1" applyAlignment="1">
      <alignment vertical="top"/>
    </xf>
    <xf numFmtId="164" fontId="60" fillId="0" borderId="31" xfId="5" applyFont="1" applyBorder="1" applyAlignment="1">
      <alignment horizontal="left" vertical="top" wrapText="1"/>
    </xf>
    <xf numFmtId="0" fontId="50" fillId="0" borderId="12" xfId="0" applyFont="1" applyBorder="1" applyAlignment="1">
      <alignment vertical="top"/>
    </xf>
    <xf numFmtId="164" fontId="50" fillId="0" borderId="10" xfId="5" applyFont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50" fillId="0" borderId="10" xfId="0" applyFont="1" applyBorder="1" applyAlignment="1">
      <alignment vertical="top"/>
    </xf>
    <xf numFmtId="164" fontId="14" fillId="0" borderId="1" xfId="5" applyFont="1" applyBorder="1" applyAlignment="1">
      <alignment horizontal="left" vertical="top"/>
    </xf>
    <xf numFmtId="0" fontId="0" fillId="0" borderId="36" xfId="0" applyBorder="1" applyAlignment="1">
      <alignment vertical="top"/>
    </xf>
    <xf numFmtId="164" fontId="50" fillId="0" borderId="10" xfId="5" applyFont="1" applyBorder="1" applyAlignment="1">
      <alignment vertical="top" wrapText="1"/>
    </xf>
    <xf numFmtId="0" fontId="50" fillId="0" borderId="5" xfId="0" applyFont="1" applyBorder="1" applyAlignment="1">
      <alignment vertical="top"/>
    </xf>
    <xf numFmtId="0" fontId="0" fillId="0" borderId="13" xfId="0" applyBorder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10" xfId="0" applyFont="1" applyBorder="1" applyAlignment="1">
      <alignment vertical="top" wrapText="1"/>
    </xf>
    <xf numFmtId="0" fontId="0" fillId="0" borderId="23" xfId="0" applyBorder="1" applyAlignment="1">
      <alignment vertical="top"/>
    </xf>
    <xf numFmtId="0" fontId="50" fillId="0" borderId="13" xfId="0" applyFont="1" applyBorder="1" applyAlignment="1">
      <alignment vertical="top" wrapText="1"/>
    </xf>
    <xf numFmtId="0" fontId="0" fillId="0" borderId="0" xfId="0" applyBorder="1"/>
    <xf numFmtId="0" fontId="0" fillId="0" borderId="7" xfId="0" applyBorder="1" applyAlignment="1">
      <alignment vertical="top"/>
    </xf>
    <xf numFmtId="0" fontId="0" fillId="0" borderId="10" xfId="0" applyBorder="1" applyAlignment="1">
      <alignment vertical="top" wrapText="1"/>
    </xf>
    <xf numFmtId="0" fontId="50" fillId="0" borderId="12" xfId="0" applyFont="1" applyBorder="1"/>
    <xf numFmtId="0" fontId="50" fillId="0" borderId="18" xfId="0" applyFont="1" applyBorder="1"/>
    <xf numFmtId="0" fontId="60" fillId="0" borderId="31" xfId="0" applyFont="1" applyBorder="1" applyAlignment="1">
      <alignment vertical="top" wrapText="1"/>
    </xf>
    <xf numFmtId="164" fontId="36" fillId="2" borderId="39" xfId="5" applyFont="1" applyFill="1" applyBorder="1" applyAlignment="1">
      <alignment horizontal="left" vertical="top"/>
    </xf>
    <xf numFmtId="164" fontId="50" fillId="0" borderId="22" xfId="5" applyFont="1" applyBorder="1" applyAlignment="1">
      <alignment horizontal="left" vertical="top" wrapText="1"/>
    </xf>
    <xf numFmtId="3" fontId="20" fillId="5" borderId="22" xfId="5" applyNumberFormat="1" applyFont="1" applyFill="1" applyBorder="1" applyAlignment="1">
      <alignment horizontal="left" vertical="top" wrapText="1"/>
    </xf>
    <xf numFmtId="164" fontId="50" fillId="0" borderId="40" xfId="5" applyFont="1" applyBorder="1" applyAlignment="1">
      <alignment horizontal="left" vertical="top" wrapText="1"/>
    </xf>
    <xf numFmtId="0" fontId="0" fillId="0" borderId="38" xfId="0" applyBorder="1" applyAlignment="1">
      <alignment vertical="top"/>
    </xf>
    <xf numFmtId="164" fontId="14" fillId="0" borderId="38" xfId="5" applyFont="1" applyBorder="1" applyAlignment="1">
      <alignment horizontal="left" vertical="top" wrapText="1"/>
    </xf>
    <xf numFmtId="164" fontId="14" fillId="0" borderId="22" xfId="5" applyFont="1" applyBorder="1" applyAlignment="1">
      <alignment horizontal="left" vertical="top" wrapText="1"/>
    </xf>
    <xf numFmtId="3" fontId="20" fillId="0" borderId="22" xfId="5" applyNumberFormat="1" applyFont="1" applyFill="1" applyBorder="1" applyAlignment="1">
      <alignment horizontal="left" vertical="top" wrapText="1"/>
    </xf>
    <xf numFmtId="0" fontId="0" fillId="0" borderId="22" xfId="0" applyBorder="1" applyAlignment="1">
      <alignment vertical="top"/>
    </xf>
    <xf numFmtId="164" fontId="14" fillId="0" borderId="41" xfId="5" applyFont="1" applyBorder="1" applyAlignment="1">
      <alignment horizontal="left" vertical="top" wrapText="1"/>
    </xf>
    <xf numFmtId="0" fontId="0" fillId="0" borderId="0" xfId="0" applyAlignment="1">
      <alignment wrapText="1"/>
    </xf>
    <xf numFmtId="164" fontId="60" fillId="0" borderId="37" xfId="5" applyFont="1" applyBorder="1" applyAlignment="1">
      <alignment horizontal="left" vertical="top" wrapText="1"/>
    </xf>
    <xf numFmtId="164" fontId="60" fillId="0" borderId="32" xfId="5" applyFont="1" applyBorder="1" applyAlignment="1">
      <alignment horizontal="left" vertical="top" wrapText="1"/>
    </xf>
  </cellXfs>
  <cellStyles count="15">
    <cellStyle name="Calculation" xfId="14" builtinId="22"/>
    <cellStyle name="Good" xfId="13" builtinId="26"/>
    <cellStyle name="Hyperlink" xfId="3" builtinId="8"/>
    <cellStyle name="Hyperlink 2" xfId="4"/>
    <cellStyle name="Hyperlink 3" xfId="9"/>
    <cellStyle name="Normal" xfId="0" builtinId="0"/>
    <cellStyle name="Normal 2" xfId="1"/>
    <cellStyle name="Normal 3" xfId="2"/>
    <cellStyle name="Normal 3 2" xfId="10"/>
    <cellStyle name="Normal 3 3" xfId="12"/>
    <cellStyle name="Normal 4" xfId="5"/>
    <cellStyle name="標準 11" xfId="8"/>
    <cellStyle name="標準 3" xfId="6"/>
    <cellStyle name="標準 3 2" xfId="11"/>
    <cellStyle name="標準 5" xfId="7"/>
  </cellStyles>
  <dxfs count="5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3"/>
      </font>
      <fill>
        <patternFill>
          <bgColor theme="2"/>
        </patternFill>
      </fill>
    </dxf>
    <dxf>
      <font>
        <color theme="3"/>
      </font>
    </dxf>
    <dxf>
      <font>
        <b val="0"/>
        <i val="0"/>
        <color theme="0"/>
      </font>
      <fill>
        <patternFill patternType="solid">
          <fgColor theme="4"/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 style="thin">
          <color theme="3" tint="0.59996337778862885"/>
        </vertical>
        <horizontal/>
      </border>
    </dxf>
  </dxfs>
  <tableStyles count="1" defaultTableStyle="TableStyleMedium2" defaultPivotStyle="PivotStyleLight16">
    <tableStyle name="Project Timeline" pivot="0" count="4">
      <tableStyleElement type="wholeTable" dxfId="51"/>
      <tableStyleElement type="headerRow" dxfId="50"/>
      <tableStyleElement type="firstRowStripe" dxfId="49"/>
      <tableStyleElement type="secondRowStripe" dxfId="48"/>
    </tableStyle>
  </tableStyles>
  <colors>
    <mruColors>
      <color rgb="FFFF3F3F"/>
      <color rgb="FFFF9F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299358</xdr:colOff>
      <xdr:row>21</xdr:row>
      <xdr:rowOff>81642</xdr:rowOff>
    </xdr:from>
    <xdr:to>
      <xdr:col>19</xdr:col>
      <xdr:colOff>244927</xdr:colOff>
      <xdr:row>73</xdr:row>
      <xdr:rowOff>111999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179" y="3905249"/>
          <a:ext cx="4952998" cy="8521214"/>
        </a:xfrm>
        <a:prstGeom prst="rect">
          <a:avLst/>
        </a:prstGeom>
      </xdr:spPr>
    </xdr:pic>
    <xdr:clientData/>
  </xdr:twoCellAnchor>
  <xdr:twoCellAnchor editAs="oneCell">
    <xdr:from>
      <xdr:col>25</xdr:col>
      <xdr:colOff>40021</xdr:colOff>
      <xdr:row>22</xdr:row>
      <xdr:rowOff>115260</xdr:rowOff>
    </xdr:from>
    <xdr:to>
      <xdr:col>65</xdr:col>
      <xdr:colOff>77152</xdr:colOff>
      <xdr:row>33</xdr:row>
      <xdr:rowOff>43384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9668" y="3970084"/>
          <a:ext cx="12587719" cy="1653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1326173</xdr:colOff>
      <xdr:row>42</xdr:row>
      <xdr:rowOff>43961</xdr:rowOff>
    </xdr:from>
    <xdr:to>
      <xdr:col>23</xdr:col>
      <xdr:colOff>529256</xdr:colOff>
      <xdr:row>73</xdr:row>
      <xdr:rowOff>24288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308" y="12301903"/>
          <a:ext cx="17557025" cy="6039693"/>
        </a:xfrm>
        <a:prstGeom prst="rect">
          <a:avLst/>
        </a:prstGeom>
      </xdr:spPr>
    </xdr:pic>
    <xdr:clientData/>
  </xdr:twoCellAnchor>
  <xdr:twoCellAnchor editAs="oneCell">
    <xdr:from>
      <xdr:col>2</xdr:col>
      <xdr:colOff>1664</xdr:colOff>
      <xdr:row>83</xdr:row>
      <xdr:rowOff>87812</xdr:rowOff>
    </xdr:from>
    <xdr:to>
      <xdr:col>5</xdr:col>
      <xdr:colOff>499020</xdr:colOff>
      <xdr:row>88</xdr:row>
      <xdr:rowOff>160392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937" y="20350085"/>
          <a:ext cx="6524083" cy="1025080"/>
        </a:xfrm>
        <a:prstGeom prst="rect">
          <a:avLst/>
        </a:prstGeom>
      </xdr:spPr>
    </xdr:pic>
    <xdr:clientData/>
  </xdr:twoCellAnchor>
  <xdr:twoCellAnchor editAs="oneCell">
    <xdr:from>
      <xdr:col>2</xdr:col>
      <xdr:colOff>752</xdr:colOff>
      <xdr:row>73</xdr:row>
      <xdr:rowOff>129510</xdr:rowOff>
    </xdr:from>
    <xdr:to>
      <xdr:col>3</xdr:col>
      <xdr:colOff>154440</xdr:colOff>
      <xdr:row>83</xdr:row>
      <xdr:rowOff>136438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8578" y="18657706"/>
          <a:ext cx="4974166" cy="1911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XI\DVcon_us\Viettel_UT_FFT_Verification_Checklist_su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Cover"/>
      <sheetName val="2.History_ver"/>
      <sheetName val="3.Summary"/>
      <sheetName val="4.Definition_list"/>
      <sheetName val="5.Function_list MD"/>
      <sheetName val="5.Function_list"/>
      <sheetName val="5.Function_list-old"/>
      <sheetName val="7.Scenario_flow"/>
      <sheetName val="8.SVA_List"/>
      <sheetName val="9.Q&amp;A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7"/>
  <sheetViews>
    <sheetView showGridLines="0" topLeftCell="A13" zoomScaleNormal="100" zoomScalePageLayoutView="70" workbookViewId="0">
      <selection activeCell="J30" sqref="J30"/>
    </sheetView>
  </sheetViews>
  <sheetFormatPr defaultRowHeight="15"/>
  <cols>
    <col min="1" max="13" width="7.4257812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>
      <c r="A2" s="4"/>
      <c r="M2" s="5"/>
    </row>
    <row r="3" spans="1:13">
      <c r="A3" s="4"/>
      <c r="M3" s="5"/>
    </row>
    <row r="4" spans="1:13">
      <c r="A4" s="4"/>
      <c r="M4" s="5"/>
    </row>
    <row r="5" spans="1:13">
      <c r="A5" s="4"/>
      <c r="M5" s="5"/>
    </row>
    <row r="6" spans="1:13">
      <c r="A6" s="4"/>
      <c r="M6" s="5"/>
    </row>
    <row r="7" spans="1:13">
      <c r="A7" s="4"/>
      <c r="M7" s="5"/>
    </row>
    <row r="8" spans="1:13">
      <c r="A8" s="4"/>
      <c r="M8" s="5"/>
    </row>
    <row r="9" spans="1:13">
      <c r="A9" s="4"/>
      <c r="M9" s="5"/>
    </row>
    <row r="10" spans="1:13">
      <c r="A10" s="4"/>
      <c r="M10" s="5"/>
    </row>
    <row r="11" spans="1:13">
      <c r="A11" s="4"/>
      <c r="M11" s="5"/>
    </row>
    <row r="12" spans="1:13">
      <c r="A12" s="4"/>
      <c r="M12" s="5"/>
    </row>
    <row r="13" spans="1:13">
      <c r="A13" s="4"/>
      <c r="M13" s="5"/>
    </row>
    <row r="14" spans="1:13">
      <c r="A14" s="4"/>
      <c r="M14" s="5"/>
    </row>
    <row r="15" spans="1:13">
      <c r="A15" s="4"/>
      <c r="M15" s="5"/>
    </row>
    <row r="16" spans="1:13">
      <c r="A16" s="4"/>
      <c r="M16" s="5"/>
    </row>
    <row r="17" spans="1:13">
      <c r="A17" s="4"/>
      <c r="M17" s="5"/>
    </row>
    <row r="18" spans="1:13">
      <c r="A18" s="4"/>
      <c r="M18" s="5"/>
    </row>
    <row r="19" spans="1:13">
      <c r="A19" s="4"/>
      <c r="M19" s="5"/>
    </row>
    <row r="20" spans="1:13">
      <c r="A20" s="4"/>
      <c r="M20" s="5"/>
    </row>
    <row r="21" spans="1:13">
      <c r="A21" s="4"/>
      <c r="M21" s="5"/>
    </row>
    <row r="22" spans="1:13">
      <c r="A22" s="241" t="s">
        <v>254</v>
      </c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3"/>
    </row>
    <row r="23" spans="1:13">
      <c r="A23" s="241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3"/>
    </row>
    <row r="24" spans="1:13">
      <c r="A24" s="241"/>
      <c r="B24" s="242"/>
      <c r="C24" s="242"/>
      <c r="D24" s="242"/>
      <c r="E24" s="242"/>
      <c r="F24" s="242"/>
      <c r="G24" s="242"/>
      <c r="H24" s="242"/>
      <c r="I24" s="242"/>
      <c r="J24" s="242"/>
      <c r="K24" s="242"/>
      <c r="L24" s="242"/>
      <c r="M24" s="243"/>
    </row>
    <row r="25" spans="1:13">
      <c r="A25" s="241"/>
      <c r="B25" s="242"/>
      <c r="C25" s="242"/>
      <c r="D25" s="242"/>
      <c r="E25" s="242"/>
      <c r="F25" s="242"/>
      <c r="G25" s="242"/>
      <c r="H25" s="242"/>
      <c r="I25" s="242"/>
      <c r="J25" s="242"/>
      <c r="K25" s="242"/>
      <c r="L25" s="242"/>
      <c r="M25" s="243"/>
    </row>
    <row r="26" spans="1:13">
      <c r="A26" s="241"/>
      <c r="B26" s="242"/>
      <c r="C26" s="242"/>
      <c r="D26" s="242"/>
      <c r="E26" s="242"/>
      <c r="F26" s="242"/>
      <c r="G26" s="242"/>
      <c r="H26" s="242"/>
      <c r="I26" s="242"/>
      <c r="J26" s="242"/>
      <c r="K26" s="242"/>
      <c r="L26" s="242"/>
      <c r="M26" s="243"/>
    </row>
    <row r="27" spans="1:13" ht="20.25" customHeight="1">
      <c r="A27" s="4"/>
      <c r="L27" s="9"/>
      <c r="M27" s="10"/>
    </row>
    <row r="28" spans="1:13" ht="20.25" customHeight="1">
      <c r="A28" s="4"/>
      <c r="H28" s="104" t="s">
        <v>6</v>
      </c>
      <c r="I28" s="105"/>
      <c r="J28" s="105" t="s">
        <v>8</v>
      </c>
      <c r="K28" s="105"/>
      <c r="L28" s="25"/>
      <c r="M28" s="10"/>
    </row>
    <row r="29" spans="1:13" ht="24">
      <c r="A29" s="4"/>
      <c r="H29" s="104" t="s">
        <v>17</v>
      </c>
      <c r="I29" s="105"/>
      <c r="J29" s="105" t="s">
        <v>306</v>
      </c>
      <c r="K29" s="105"/>
      <c r="L29" s="25"/>
      <c r="M29" s="5"/>
    </row>
    <row r="30" spans="1:13" ht="24">
      <c r="A30" s="4"/>
      <c r="H30" s="104" t="s">
        <v>3</v>
      </c>
      <c r="I30" s="105"/>
      <c r="J30" s="105" t="s">
        <v>304</v>
      </c>
      <c r="K30" s="105"/>
      <c r="L30" s="25"/>
      <c r="M30" s="5"/>
    </row>
    <row r="31" spans="1:13" ht="24">
      <c r="A31" s="4"/>
      <c r="H31" s="104" t="s">
        <v>19</v>
      </c>
      <c r="I31" s="105"/>
      <c r="J31" s="105" t="s">
        <v>305</v>
      </c>
      <c r="K31" s="105"/>
      <c r="L31" s="25"/>
      <c r="M31" s="5"/>
    </row>
    <row r="32" spans="1:13">
      <c r="A32" s="4"/>
      <c r="M32" s="5"/>
    </row>
    <row r="33" spans="1:13">
      <c r="A33" s="4"/>
      <c r="M33" s="5"/>
    </row>
    <row r="34" spans="1:13">
      <c r="A34" s="4"/>
      <c r="M34" s="5"/>
    </row>
    <row r="35" spans="1:13">
      <c r="A35" s="4"/>
      <c r="M35" s="5"/>
    </row>
    <row r="36" spans="1:13">
      <c r="A36" s="4"/>
      <c r="M36" s="5"/>
    </row>
    <row r="37" spans="1:13">
      <c r="A37" s="4"/>
      <c r="M37" s="5"/>
    </row>
    <row r="38" spans="1:13">
      <c r="A38" s="4"/>
      <c r="M38" s="5"/>
    </row>
    <row r="39" spans="1:13">
      <c r="A39" s="4"/>
      <c r="M39" s="5"/>
    </row>
    <row r="40" spans="1:13">
      <c r="A40" s="4"/>
      <c r="M40" s="5"/>
    </row>
    <row r="41" spans="1:13">
      <c r="A41" s="4"/>
      <c r="M41" s="5"/>
    </row>
    <row r="42" spans="1:13">
      <c r="A42" s="4"/>
      <c r="M42" s="5"/>
    </row>
    <row r="43" spans="1:13">
      <c r="A43" s="4"/>
      <c r="M43" s="5"/>
    </row>
    <row r="44" spans="1:13">
      <c r="A44" s="4"/>
      <c r="M44" s="5"/>
    </row>
    <row r="45" spans="1:13">
      <c r="A45" s="4"/>
      <c r="M45" s="5"/>
    </row>
    <row r="46" spans="1:13">
      <c r="A46" s="4"/>
      <c r="M46" s="5"/>
    </row>
    <row r="47" spans="1:13" ht="15.75" thickBo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</row>
  </sheetData>
  <mergeCells count="1">
    <mergeCell ref="A22:M26"/>
  </mergeCells>
  <pageMargins left="0.41666666666666669" right="0.38541666666666669" top="0.47916666666666669" bottom="0.40625" header="0.10416666666666667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7"/>
  <sheetViews>
    <sheetView showGridLines="0" zoomScaleNormal="100" workbookViewId="0">
      <selection activeCell="B9" sqref="B9"/>
    </sheetView>
  </sheetViews>
  <sheetFormatPr defaultRowHeight="15"/>
  <cols>
    <col min="1" max="1" width="3.5703125" bestFit="1" customWidth="1"/>
    <col min="2" max="2" width="12.140625" customWidth="1"/>
    <col min="3" max="3" width="48.28515625" customWidth="1"/>
    <col min="4" max="4" width="9.7109375" bestFit="1" customWidth="1"/>
    <col min="5" max="5" width="7.7109375" bestFit="1" customWidth="1"/>
    <col min="6" max="6" width="22.42578125" customWidth="1"/>
  </cols>
  <sheetData>
    <row r="1" spans="1:6" ht="23.25">
      <c r="A1" s="244" t="s">
        <v>10</v>
      </c>
      <c r="B1" s="244"/>
      <c r="C1" s="244"/>
      <c r="D1" s="244"/>
      <c r="E1" s="244"/>
      <c r="F1" s="244"/>
    </row>
    <row r="2" spans="1:6" ht="9" customHeight="1">
      <c r="A2" s="85"/>
      <c r="B2" s="85"/>
      <c r="C2" s="85"/>
      <c r="D2" s="85"/>
      <c r="E2" s="85"/>
      <c r="F2" s="85"/>
    </row>
    <row r="3" spans="1:6">
      <c r="A3" s="95" t="s">
        <v>7</v>
      </c>
      <c r="B3" s="86"/>
      <c r="C3" s="87"/>
      <c r="D3" s="88"/>
      <c r="E3" s="88"/>
      <c r="F3" s="88"/>
    </row>
    <row r="4" spans="1:6">
      <c r="A4" s="96" t="s">
        <v>25</v>
      </c>
      <c r="B4" s="88"/>
      <c r="C4" s="89"/>
      <c r="D4" s="88"/>
      <c r="E4" s="88"/>
      <c r="F4" s="88"/>
    </row>
    <row r="5" spans="1:6">
      <c r="A5" s="97" t="s">
        <v>26</v>
      </c>
      <c r="B5" s="90"/>
      <c r="C5" s="91"/>
      <c r="D5" s="88"/>
      <c r="E5" s="88"/>
      <c r="F5" s="88"/>
    </row>
    <row r="6" spans="1:6">
      <c r="A6" s="88"/>
      <c r="B6" s="88"/>
      <c r="C6" s="88"/>
      <c r="D6" s="88"/>
      <c r="E6" s="88"/>
      <c r="F6" s="88"/>
    </row>
    <row r="7" spans="1:6">
      <c r="A7" s="98" t="s">
        <v>0</v>
      </c>
      <c r="B7" s="99" t="s">
        <v>1</v>
      </c>
      <c r="C7" s="99" t="s">
        <v>2</v>
      </c>
      <c r="D7" s="99" t="s">
        <v>18</v>
      </c>
      <c r="E7" s="99" t="s">
        <v>6</v>
      </c>
      <c r="F7" s="99" t="s">
        <v>4</v>
      </c>
    </row>
    <row r="8" spans="1:6">
      <c r="A8" s="100">
        <v>1</v>
      </c>
      <c r="B8" s="101">
        <v>46244</v>
      </c>
      <c r="C8" s="102" t="s">
        <v>5</v>
      </c>
      <c r="D8" s="103" t="s">
        <v>217</v>
      </c>
      <c r="E8" s="100" t="s">
        <v>9</v>
      </c>
      <c r="F8" s="103"/>
    </row>
    <row r="9" spans="1:6">
      <c r="A9" s="92"/>
      <c r="B9" s="94"/>
      <c r="C9" s="93"/>
      <c r="D9" s="93"/>
      <c r="E9" s="93"/>
      <c r="F9" s="93"/>
    </row>
    <row r="10" spans="1:6">
      <c r="A10" s="92"/>
      <c r="B10" s="94"/>
      <c r="C10" s="93"/>
      <c r="D10" s="93"/>
      <c r="E10" s="93"/>
      <c r="F10" s="93"/>
    </row>
    <row r="11" spans="1:6">
      <c r="A11" s="92"/>
      <c r="B11" s="94"/>
      <c r="C11" s="93"/>
      <c r="D11" s="93"/>
      <c r="E11" s="93"/>
      <c r="F11" s="93"/>
    </row>
    <row r="12" spans="1:6">
      <c r="A12" s="92"/>
      <c r="B12" s="94"/>
      <c r="C12" s="93"/>
      <c r="D12" s="93"/>
      <c r="E12" s="93"/>
      <c r="F12" s="93"/>
    </row>
    <row r="13" spans="1:6">
      <c r="A13" s="92"/>
      <c r="B13" s="94"/>
      <c r="C13" s="93"/>
      <c r="D13" s="93"/>
      <c r="E13" s="93"/>
      <c r="F13" s="93"/>
    </row>
    <row r="14" spans="1:6">
      <c r="A14" s="92"/>
      <c r="B14" s="94"/>
      <c r="C14" s="93"/>
      <c r="D14" s="93"/>
      <c r="E14" s="93"/>
      <c r="F14" s="93"/>
    </row>
    <row r="15" spans="1:6">
      <c r="A15" s="92"/>
      <c r="B15" s="94"/>
      <c r="C15" s="93"/>
      <c r="D15" s="93"/>
      <c r="E15" s="93"/>
      <c r="F15" s="93"/>
    </row>
    <row r="16" spans="1:6">
      <c r="A16" s="92"/>
      <c r="B16" s="94"/>
      <c r="C16" s="93"/>
      <c r="D16" s="93"/>
      <c r="E16" s="93"/>
      <c r="F16" s="93"/>
    </row>
    <row r="17" spans="1:6">
      <c r="A17" s="92"/>
      <c r="B17" s="94"/>
      <c r="C17" s="93"/>
      <c r="D17" s="93"/>
      <c r="E17" s="93"/>
      <c r="F17" s="93"/>
    </row>
    <row r="18" spans="1:6">
      <c r="A18" s="92"/>
      <c r="B18" s="94"/>
      <c r="C18" s="93"/>
      <c r="D18" s="93"/>
      <c r="E18" s="93"/>
      <c r="F18" s="93"/>
    </row>
    <row r="19" spans="1:6">
      <c r="A19" s="93"/>
      <c r="B19" s="93"/>
      <c r="C19" s="93"/>
      <c r="D19" s="93"/>
      <c r="E19" s="93"/>
      <c r="F19" s="93"/>
    </row>
    <row r="20" spans="1:6">
      <c r="A20" s="93"/>
      <c r="B20" s="93"/>
      <c r="C20" s="93"/>
      <c r="D20" s="93"/>
      <c r="E20" s="93"/>
      <c r="F20" s="93"/>
    </row>
    <row r="21" spans="1:6">
      <c r="A21" s="88"/>
      <c r="B21" s="88"/>
      <c r="C21" s="88"/>
      <c r="D21" s="88"/>
      <c r="E21" s="88"/>
      <c r="F21" s="88"/>
    </row>
    <row r="22" spans="1:6">
      <c r="A22" s="88"/>
      <c r="B22" s="88"/>
      <c r="C22" s="88"/>
      <c r="D22" s="88"/>
      <c r="E22" s="88"/>
      <c r="F22" s="88"/>
    </row>
    <row r="23" spans="1:6">
      <c r="A23" s="88"/>
      <c r="B23" s="88"/>
      <c r="C23" s="88"/>
      <c r="D23" s="88"/>
      <c r="E23" s="88"/>
      <c r="F23" s="88"/>
    </row>
    <row r="24" spans="1:6">
      <c r="A24" s="88"/>
      <c r="B24" s="88"/>
      <c r="C24" s="88"/>
      <c r="D24" s="88"/>
      <c r="E24" s="88"/>
      <c r="F24" s="88"/>
    </row>
    <row r="25" spans="1:6">
      <c r="A25" s="88"/>
      <c r="B25" s="88"/>
      <c r="C25" s="88"/>
      <c r="D25" s="88"/>
      <c r="E25" s="88"/>
      <c r="F25" s="88"/>
    </row>
    <row r="26" spans="1:6">
      <c r="A26" s="88"/>
      <c r="B26" s="88"/>
      <c r="C26" s="88"/>
      <c r="D26" s="88"/>
      <c r="E26" s="88"/>
      <c r="F26" s="88"/>
    </row>
    <row r="27" spans="1:6">
      <c r="A27" s="88"/>
      <c r="B27" s="88"/>
      <c r="C27" s="88"/>
      <c r="D27" s="88"/>
      <c r="E27" s="88"/>
      <c r="F27" s="88"/>
    </row>
    <row r="28" spans="1:6">
      <c r="A28" s="88"/>
      <c r="B28" s="88"/>
      <c r="C28" s="88"/>
      <c r="D28" s="88"/>
      <c r="E28" s="88"/>
      <c r="F28" s="88"/>
    </row>
    <row r="29" spans="1:6">
      <c r="A29" s="88"/>
      <c r="B29" s="88"/>
      <c r="C29" s="88"/>
      <c r="D29" s="88"/>
      <c r="E29" s="88"/>
      <c r="F29" s="88"/>
    </row>
    <row r="30" spans="1:6">
      <c r="A30" s="88"/>
      <c r="B30" s="88"/>
      <c r="C30" s="88"/>
      <c r="D30" s="88"/>
      <c r="E30" s="88"/>
      <c r="F30" s="88"/>
    </row>
    <row r="31" spans="1:6">
      <c r="A31" s="88"/>
      <c r="B31" s="88"/>
      <c r="C31" s="88"/>
      <c r="D31" s="88"/>
      <c r="E31" s="88"/>
      <c r="F31" s="88"/>
    </row>
    <row r="32" spans="1:6">
      <c r="A32" s="88"/>
      <c r="B32" s="88"/>
      <c r="C32" s="88"/>
      <c r="D32" s="88"/>
      <c r="E32" s="88"/>
      <c r="F32" s="88"/>
    </row>
    <row r="33" spans="1:6">
      <c r="A33" s="88"/>
      <c r="B33" s="88"/>
      <c r="C33" s="88"/>
      <c r="D33" s="88"/>
      <c r="E33" s="88"/>
      <c r="F33" s="88"/>
    </row>
    <row r="34" spans="1:6">
      <c r="A34" s="88"/>
      <c r="B34" s="88"/>
      <c r="C34" s="88"/>
      <c r="D34" s="88"/>
      <c r="E34" s="88"/>
      <c r="F34" s="88"/>
    </row>
    <row r="35" spans="1:6">
      <c r="A35" s="88"/>
      <c r="B35" s="88"/>
      <c r="C35" s="88"/>
      <c r="D35" s="88"/>
      <c r="E35" s="88"/>
      <c r="F35" s="88"/>
    </row>
    <row r="36" spans="1:6">
      <c r="A36" s="88"/>
      <c r="B36" s="88"/>
      <c r="C36" s="88"/>
      <c r="D36" s="88"/>
      <c r="E36" s="88"/>
      <c r="F36" s="88"/>
    </row>
    <row r="37" spans="1:6">
      <c r="A37" s="88"/>
      <c r="B37" s="88"/>
      <c r="C37" s="88"/>
      <c r="D37" s="88"/>
      <c r="E37" s="88"/>
      <c r="F37" s="88"/>
    </row>
    <row r="38" spans="1:6">
      <c r="A38" s="88"/>
      <c r="B38" s="88"/>
      <c r="C38" s="88"/>
      <c r="D38" s="88"/>
      <c r="E38" s="88"/>
      <c r="F38" s="88"/>
    </row>
    <row r="39" spans="1:6">
      <c r="A39" s="88"/>
      <c r="B39" s="88"/>
      <c r="C39" s="88"/>
      <c r="D39" s="88"/>
      <c r="E39" s="88"/>
      <c r="F39" s="88"/>
    </row>
    <row r="40" spans="1:6">
      <c r="A40" s="88"/>
      <c r="B40" s="88"/>
      <c r="C40" s="88"/>
      <c r="D40" s="88"/>
      <c r="E40" s="88"/>
      <c r="F40" s="88"/>
    </row>
    <row r="41" spans="1:6">
      <c r="A41" s="88"/>
      <c r="B41" s="88"/>
      <c r="C41" s="88"/>
      <c r="D41" s="88"/>
      <c r="E41" s="88"/>
      <c r="F41" s="88"/>
    </row>
    <row r="42" spans="1:6">
      <c r="A42" s="88"/>
      <c r="B42" s="88"/>
      <c r="C42" s="88"/>
      <c r="D42" s="88"/>
      <c r="E42" s="88"/>
      <c r="F42" s="88"/>
    </row>
    <row r="43" spans="1:6">
      <c r="A43" s="88"/>
      <c r="B43" s="88"/>
      <c r="C43" s="88"/>
      <c r="D43" s="88"/>
      <c r="E43" s="88"/>
      <c r="F43" s="88"/>
    </row>
    <row r="44" spans="1:6">
      <c r="A44" s="88"/>
      <c r="B44" s="88"/>
      <c r="C44" s="88"/>
      <c r="D44" s="88"/>
      <c r="E44" s="88"/>
      <c r="F44" s="88"/>
    </row>
    <row r="45" spans="1:6">
      <c r="A45" s="88"/>
      <c r="B45" s="88"/>
      <c r="C45" s="88"/>
      <c r="D45" s="88"/>
      <c r="E45" s="88"/>
      <c r="F45" s="88"/>
    </row>
    <row r="46" spans="1:6">
      <c r="A46" s="88"/>
      <c r="B46" s="88"/>
      <c r="C46" s="88"/>
      <c r="D46" s="88"/>
      <c r="E46" s="88"/>
      <c r="F46" s="88"/>
    </row>
    <row r="47" spans="1:6">
      <c r="A47" s="88"/>
      <c r="B47" s="88"/>
      <c r="C47" s="88"/>
      <c r="D47" s="88"/>
      <c r="E47" s="88"/>
      <c r="F47" s="88"/>
    </row>
  </sheetData>
  <dataConsolidate/>
  <mergeCells count="1">
    <mergeCell ref="A1:F1"/>
  </mergeCells>
  <pageMargins left="0.23622047244094491" right="0.31496062992125984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1:I15"/>
  <sheetViews>
    <sheetView showGridLines="0" zoomScaleNormal="100" zoomScalePageLayoutView="130" workbookViewId="0">
      <selection activeCell="F28" sqref="F28"/>
    </sheetView>
  </sheetViews>
  <sheetFormatPr defaultColWidth="8.7109375" defaultRowHeight="18.75"/>
  <cols>
    <col min="1" max="1" width="3.42578125" style="11" customWidth="1"/>
    <col min="2" max="2" width="9.28515625" style="11" customWidth="1"/>
    <col min="3" max="3" width="21.42578125" style="11" customWidth="1"/>
    <col min="4" max="4" width="13.5703125" style="11" customWidth="1"/>
    <col min="5" max="5" width="13.28515625" style="11" customWidth="1"/>
    <col min="6" max="6" width="16.42578125" style="11" customWidth="1"/>
    <col min="7" max="7" width="19.42578125" style="11" customWidth="1"/>
    <col min="8" max="8" width="18.7109375" style="11" customWidth="1"/>
    <col min="9" max="9" width="56.5703125" style="11" customWidth="1"/>
    <col min="10" max="10" width="26.140625" style="11" customWidth="1"/>
    <col min="11" max="11" width="18.5703125" style="11" customWidth="1"/>
    <col min="12" max="12" width="8.85546875" style="11" bestFit="1" customWidth="1"/>
    <col min="13" max="13" width="6" style="11" customWidth="1"/>
    <col min="14" max="16384" width="8.7109375" style="11"/>
  </cols>
  <sheetData>
    <row r="1" spans="2:9" ht="30">
      <c r="B1" s="76" t="s">
        <v>14</v>
      </c>
      <c r="C1" s="20"/>
      <c r="D1" s="20"/>
      <c r="E1" s="20"/>
      <c r="F1" s="20"/>
      <c r="G1" s="20"/>
      <c r="H1" s="20"/>
      <c r="I1" s="20"/>
    </row>
    <row r="2" spans="2:9" ht="8.65" customHeight="1">
      <c r="B2" s="12"/>
      <c r="C2" s="12"/>
      <c r="D2" s="12"/>
      <c r="E2" s="12"/>
      <c r="F2" s="12"/>
      <c r="G2" s="12"/>
    </row>
    <row r="3" spans="2:9" ht="15" customHeight="1">
      <c r="B3" s="95" t="s">
        <v>7</v>
      </c>
      <c r="C3" s="15"/>
      <c r="D3" s="15"/>
      <c r="E3" s="15"/>
      <c r="F3" s="15"/>
      <c r="G3" s="16"/>
    </row>
    <row r="4" spans="2:9" ht="15" customHeight="1">
      <c r="B4" s="96" t="s">
        <v>16</v>
      </c>
      <c r="G4" s="17"/>
    </row>
    <row r="5" spans="2:9" ht="15" customHeight="1">
      <c r="B5" s="106" t="s">
        <v>15</v>
      </c>
      <c r="G5" s="17"/>
    </row>
    <row r="6" spans="2:9" ht="15" customHeight="1">
      <c r="B6" s="97"/>
      <c r="C6" s="18"/>
      <c r="D6" s="18"/>
      <c r="E6" s="18"/>
      <c r="F6" s="18"/>
      <c r="G6" s="19"/>
    </row>
    <row r="7" spans="2:9" ht="15" customHeight="1">
      <c r="B7" s="14"/>
    </row>
    <row r="8" spans="2:9" ht="15" customHeight="1" thickBot="1">
      <c r="B8" s="24"/>
      <c r="C8" s="24"/>
      <c r="D8" s="24"/>
      <c r="E8" s="24"/>
      <c r="F8" s="14"/>
      <c r="G8" s="14"/>
    </row>
    <row r="9" spans="2:9" ht="15" customHeight="1">
      <c r="B9" s="245" t="s">
        <v>35</v>
      </c>
      <c r="C9" s="246"/>
      <c r="D9" s="246"/>
      <c r="E9" s="246"/>
      <c r="F9" s="246"/>
      <c r="G9" s="246"/>
      <c r="H9" s="246"/>
      <c r="I9" s="246"/>
    </row>
    <row r="10" spans="2:9" ht="15" customHeight="1">
      <c r="B10" s="108" t="s">
        <v>11</v>
      </c>
      <c r="C10" s="109" t="s">
        <v>128</v>
      </c>
      <c r="D10" s="109" t="s">
        <v>6</v>
      </c>
      <c r="E10" s="121" t="s">
        <v>102</v>
      </c>
      <c r="F10" s="109" t="s">
        <v>52</v>
      </c>
      <c r="G10" s="109" t="s">
        <v>53</v>
      </c>
      <c r="H10" s="109" t="s">
        <v>114</v>
      </c>
      <c r="I10" s="110" t="s">
        <v>4</v>
      </c>
    </row>
    <row r="11" spans="2:9" ht="15" customHeight="1">
      <c r="B11" s="111" t="s">
        <v>13</v>
      </c>
      <c r="C11" s="112" t="s">
        <v>126</v>
      </c>
      <c r="D11" s="112"/>
      <c r="E11" s="112"/>
      <c r="F11" s="183">
        <f>'6.Testlist'!H7</f>
        <v>9</v>
      </c>
      <c r="G11" s="122">
        <f>'6.Testlist'!I7</f>
        <v>9</v>
      </c>
      <c r="H11" s="122">
        <f>F11-G11</f>
        <v>0</v>
      </c>
      <c r="I11" s="112"/>
    </row>
    <row r="12" spans="2:9" ht="15" customHeight="1">
      <c r="B12" s="111" t="s">
        <v>36</v>
      </c>
      <c r="C12" s="112" t="s">
        <v>127</v>
      </c>
      <c r="D12" s="112"/>
      <c r="E12" s="112"/>
      <c r="F12" s="122">
        <v>0</v>
      </c>
      <c r="G12" s="122">
        <v>0</v>
      </c>
      <c r="H12" s="122">
        <v>0</v>
      </c>
      <c r="I12" s="112"/>
    </row>
    <row r="13" spans="2:9" ht="15" customHeight="1">
      <c r="B13" s="111" t="s">
        <v>37</v>
      </c>
      <c r="C13" s="112" t="s">
        <v>125</v>
      </c>
      <c r="D13" s="112"/>
      <c r="E13" s="112"/>
      <c r="F13" s="122">
        <v>0</v>
      </c>
      <c r="G13" s="122">
        <v>0</v>
      </c>
      <c r="H13" s="122">
        <f t="shared" ref="H13" si="0">F13-G13</f>
        <v>0</v>
      </c>
      <c r="I13" s="112"/>
    </row>
    <row r="14" spans="2:9" ht="15" customHeight="1"/>
    <row r="15" spans="2:9" ht="15" customHeight="1"/>
  </sheetData>
  <mergeCells count="1">
    <mergeCell ref="B9:I9"/>
  </mergeCells>
  <phoneticPr fontId="10" type="noConversion"/>
  <dataValidations count="1">
    <dataValidation type="list" allowBlank="1" showInputMessage="1" showErrorMessage="1" sqref="B11:B13">
      <formula1>"Done,On Going, Not yet"</formula1>
    </dataValidation>
  </dataValidations>
  <pageMargins left="0.36458333333333331" right="0.31862745098039214" top="0.73958333333333337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showGridLines="0" topLeftCell="A8" zoomScaleNormal="100" zoomScaleSheetLayoutView="115" workbookViewId="0">
      <selection activeCell="J34" sqref="J34"/>
    </sheetView>
  </sheetViews>
  <sheetFormatPr defaultColWidth="9" defaultRowHeight="12.75"/>
  <cols>
    <col min="1" max="1" width="2.7109375" style="48" customWidth="1"/>
    <col min="2" max="2" width="20.7109375" style="48" bestFit="1" customWidth="1"/>
    <col min="3" max="3" width="37" style="48" customWidth="1"/>
    <col min="4" max="4" width="21" style="48" customWidth="1"/>
    <col min="5" max="16384" width="9" style="48"/>
  </cols>
  <sheetData>
    <row r="1" spans="1:9" ht="30">
      <c r="A1" s="27"/>
      <c r="B1" s="76" t="s">
        <v>101</v>
      </c>
      <c r="C1" s="20"/>
      <c r="D1" s="20"/>
      <c r="E1" s="51"/>
      <c r="F1" s="51"/>
      <c r="G1" s="51"/>
      <c r="H1" s="51"/>
      <c r="I1" s="51"/>
    </row>
    <row r="3" spans="1:9">
      <c r="B3" s="77" t="s">
        <v>112</v>
      </c>
      <c r="C3" s="49"/>
      <c r="D3" s="78"/>
    </row>
    <row r="4" spans="1:9">
      <c r="B4" s="117" t="s">
        <v>63</v>
      </c>
      <c r="C4" s="118" t="s">
        <v>64</v>
      </c>
      <c r="D4" s="117" t="s">
        <v>65</v>
      </c>
    </row>
    <row r="5" spans="1:9">
      <c r="B5" s="79" t="s">
        <v>66</v>
      </c>
      <c r="C5" s="80" t="s">
        <v>67</v>
      </c>
      <c r="D5" s="81" t="s">
        <v>68</v>
      </c>
    </row>
    <row r="6" spans="1:9">
      <c r="B6" s="79" t="s">
        <v>69</v>
      </c>
      <c r="C6" s="80" t="s">
        <v>70</v>
      </c>
      <c r="D6" s="81" t="s">
        <v>71</v>
      </c>
    </row>
    <row r="7" spans="1:9">
      <c r="B7" s="82" t="s">
        <v>72</v>
      </c>
      <c r="C7" s="80" t="s">
        <v>73</v>
      </c>
      <c r="D7" s="81" t="s">
        <v>74</v>
      </c>
    </row>
    <row r="8" spans="1:9">
      <c r="B8" s="78"/>
      <c r="C8" s="78"/>
      <c r="D8" s="78"/>
    </row>
    <row r="9" spans="1:9">
      <c r="B9" s="77" t="s">
        <v>111</v>
      </c>
      <c r="C9" s="49"/>
      <c r="D9" s="50"/>
    </row>
    <row r="10" spans="1:9">
      <c r="B10" s="117" t="s">
        <v>75</v>
      </c>
      <c r="C10" s="118" t="s">
        <v>64</v>
      </c>
      <c r="D10" s="117" t="s">
        <v>65</v>
      </c>
    </row>
    <row r="11" spans="1:9">
      <c r="B11" s="83" t="s">
        <v>76</v>
      </c>
      <c r="C11" s="80" t="s">
        <v>77</v>
      </c>
      <c r="D11" s="81"/>
    </row>
    <row r="12" spans="1:9">
      <c r="B12" s="83" t="s">
        <v>78</v>
      </c>
      <c r="C12" s="80" t="s">
        <v>79</v>
      </c>
      <c r="D12" s="81"/>
    </row>
    <row r="13" spans="1:9">
      <c r="B13" s="83" t="s">
        <v>80</v>
      </c>
      <c r="C13" s="80" t="s">
        <v>81</v>
      </c>
      <c r="D13" s="81"/>
    </row>
    <row r="14" spans="1:9">
      <c r="B14" s="83" t="s">
        <v>82</v>
      </c>
      <c r="C14" s="80" t="s">
        <v>83</v>
      </c>
      <c r="D14" s="81"/>
    </row>
    <row r="15" spans="1:9">
      <c r="B15" s="83" t="s">
        <v>84</v>
      </c>
      <c r="C15" s="80" t="s">
        <v>85</v>
      </c>
      <c r="D15" s="81"/>
    </row>
    <row r="16" spans="1:9">
      <c r="B16" s="83" t="s">
        <v>87</v>
      </c>
      <c r="C16" s="80" t="s">
        <v>88</v>
      </c>
      <c r="D16" s="81"/>
    </row>
    <row r="17" spans="2:4">
      <c r="B17" s="83" t="s">
        <v>123</v>
      </c>
      <c r="C17" s="80" t="s">
        <v>89</v>
      </c>
      <c r="D17" s="81"/>
    </row>
    <row r="18" spans="2:4">
      <c r="B18" s="83" t="s">
        <v>90</v>
      </c>
      <c r="C18" s="80" t="s">
        <v>91</v>
      </c>
      <c r="D18" s="81"/>
    </row>
    <row r="19" spans="2:4">
      <c r="B19" s="83" t="s">
        <v>92</v>
      </c>
      <c r="C19" s="80" t="s">
        <v>93</v>
      </c>
      <c r="D19" s="81"/>
    </row>
    <row r="20" spans="2:4">
      <c r="B20" s="83" t="s">
        <v>94</v>
      </c>
      <c r="C20" s="80" t="s">
        <v>95</v>
      </c>
      <c r="D20" s="81"/>
    </row>
    <row r="21" spans="2:4">
      <c r="B21" s="83" t="s">
        <v>96</v>
      </c>
      <c r="C21" s="80" t="s">
        <v>97</v>
      </c>
      <c r="D21" s="81"/>
    </row>
    <row r="22" spans="2:4">
      <c r="B22" s="78"/>
      <c r="C22" s="78"/>
      <c r="D22" s="78"/>
    </row>
    <row r="23" spans="2:4">
      <c r="B23" s="77" t="s">
        <v>110</v>
      </c>
      <c r="C23" s="78"/>
      <c r="D23" s="78"/>
    </row>
    <row r="24" spans="2:4">
      <c r="B24" s="117" t="s">
        <v>86</v>
      </c>
      <c r="C24" s="118" t="s">
        <v>64</v>
      </c>
      <c r="D24" s="117" t="s">
        <v>65</v>
      </c>
    </row>
    <row r="25" spans="2:4">
      <c r="B25" s="83" t="s">
        <v>47</v>
      </c>
      <c r="C25" s="80" t="s">
        <v>98</v>
      </c>
      <c r="D25" s="81"/>
    </row>
    <row r="26" spans="2:4">
      <c r="B26" s="83" t="s">
        <v>48</v>
      </c>
      <c r="C26" s="80" t="s">
        <v>99</v>
      </c>
      <c r="D26" s="81"/>
    </row>
    <row r="27" spans="2:4">
      <c r="B27" s="83" t="s">
        <v>49</v>
      </c>
      <c r="C27" s="84" t="s">
        <v>100</v>
      </c>
      <c r="D27" s="81"/>
    </row>
  </sheetData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2"/>
  <sheetViews>
    <sheetView zoomScale="115" zoomScaleNormal="115" zoomScaleSheetLayoutView="115" workbookViewId="0">
      <pane ySplit="4" topLeftCell="A5" activePane="bottomLeft" state="frozen"/>
      <selection pane="bottomLeft" activeCell="E19" sqref="E19"/>
    </sheetView>
  </sheetViews>
  <sheetFormatPr defaultColWidth="8.85546875" defaultRowHeight="12.75" outlineLevelRow="1"/>
  <cols>
    <col min="1" max="1" width="2.7109375" style="26" customWidth="1"/>
    <col min="2" max="4" width="14.7109375" style="129" customWidth="1"/>
    <col min="5" max="5" width="25.7109375" style="129" customWidth="1"/>
    <col min="6" max="8" width="17" style="129" customWidth="1"/>
    <col min="9" max="9" width="47.7109375" style="26" customWidth="1"/>
    <col min="10" max="10" width="41" style="26" customWidth="1"/>
    <col min="11" max="11" width="10.85546875" style="26" bestFit="1" customWidth="1"/>
    <col min="12" max="16384" width="8.85546875" style="26"/>
  </cols>
  <sheetData>
    <row r="2" spans="1:12" s="22" customFormat="1" ht="30">
      <c r="B2" s="131" t="s">
        <v>34</v>
      </c>
      <c r="C2" s="128"/>
      <c r="D2" s="136"/>
      <c r="E2" s="128"/>
      <c r="F2" s="128"/>
      <c r="G2" s="128"/>
      <c r="H2" s="128"/>
      <c r="I2" s="20"/>
      <c r="J2" s="20"/>
      <c r="K2" s="20"/>
      <c r="L2" s="20"/>
    </row>
    <row r="3" spans="1:12">
      <c r="A3" s="29"/>
    </row>
    <row r="4" spans="1:12" s="30" customFormat="1">
      <c r="B4" s="145" t="s">
        <v>43</v>
      </c>
      <c r="C4" s="145" t="s">
        <v>44</v>
      </c>
      <c r="D4" s="146" t="s">
        <v>45</v>
      </c>
      <c r="E4" s="130" t="s">
        <v>46</v>
      </c>
      <c r="F4" s="148" t="s">
        <v>156</v>
      </c>
      <c r="G4" s="130" t="s">
        <v>157</v>
      </c>
      <c r="H4" s="130" t="s">
        <v>182</v>
      </c>
      <c r="I4" s="116" t="s">
        <v>39</v>
      </c>
      <c r="J4" s="116" t="s">
        <v>31</v>
      </c>
    </row>
    <row r="5" spans="1:12" s="31" customFormat="1" outlineLevel="1">
      <c r="B5" s="32" t="s">
        <v>138</v>
      </c>
      <c r="C5" s="36"/>
      <c r="D5" s="152"/>
      <c r="E5" s="36"/>
      <c r="F5" s="35"/>
      <c r="G5" s="35"/>
      <c r="H5" s="35"/>
      <c r="J5" s="35"/>
    </row>
    <row r="6" spans="1:12" s="31" customFormat="1" outlineLevel="1">
      <c r="B6" s="37"/>
      <c r="C6" s="37" t="s">
        <v>139</v>
      </c>
      <c r="D6" s="152"/>
      <c r="E6" s="153"/>
      <c r="F6" s="35"/>
      <c r="G6" s="35"/>
      <c r="H6" s="35"/>
      <c r="I6" s="141" t="s">
        <v>130</v>
      </c>
      <c r="J6" s="35"/>
    </row>
    <row r="7" spans="1:12" s="31" customFormat="1" ht="38.25" outlineLevel="1">
      <c r="B7" s="37"/>
      <c r="C7" s="37"/>
      <c r="D7" s="147" t="s">
        <v>160</v>
      </c>
      <c r="E7" s="35"/>
      <c r="F7" s="35"/>
      <c r="G7" s="35"/>
      <c r="H7" s="35"/>
      <c r="I7" s="142" t="s">
        <v>131</v>
      </c>
      <c r="J7" s="35" t="s">
        <v>136</v>
      </c>
    </row>
    <row r="8" spans="1:12" s="31" customFormat="1" outlineLevel="1">
      <c r="B8" s="37"/>
      <c r="C8" s="37"/>
      <c r="D8" s="135"/>
      <c r="E8" s="123" t="s">
        <v>158</v>
      </c>
      <c r="F8" s="36"/>
      <c r="G8" s="36"/>
      <c r="H8" s="36"/>
      <c r="I8" s="142" t="s">
        <v>133</v>
      </c>
      <c r="J8" s="35"/>
    </row>
    <row r="9" spans="1:12" s="31" customFormat="1" ht="38.25" outlineLevel="1">
      <c r="B9" s="37"/>
      <c r="C9" s="37"/>
      <c r="D9" s="135"/>
      <c r="E9" s="149" t="s">
        <v>172</v>
      </c>
      <c r="F9" s="35"/>
      <c r="G9" s="35"/>
      <c r="H9" s="35"/>
      <c r="I9" s="142" t="s">
        <v>135</v>
      </c>
      <c r="J9" s="35"/>
    </row>
    <row r="10" spans="1:12" s="31" customFormat="1" ht="25.5" outlineLevel="1">
      <c r="B10" s="37"/>
      <c r="C10" s="37"/>
      <c r="D10" s="135"/>
      <c r="E10" s="37"/>
      <c r="F10" s="123" t="s">
        <v>175</v>
      </c>
      <c r="G10" s="36"/>
      <c r="H10" s="36"/>
      <c r="I10" s="38" t="s">
        <v>132</v>
      </c>
      <c r="J10" s="35"/>
    </row>
    <row r="11" spans="1:12" s="31" customFormat="1" ht="63.75" outlineLevel="1">
      <c r="B11" s="37"/>
      <c r="C11" s="37"/>
      <c r="D11" s="135"/>
      <c r="E11" s="37"/>
      <c r="F11" s="34" t="s">
        <v>176</v>
      </c>
      <c r="G11" s="35"/>
      <c r="H11" s="35"/>
      <c r="J11" s="35"/>
    </row>
    <row r="12" spans="1:12" s="31" customFormat="1" ht="38.25" outlineLevel="1">
      <c r="B12" s="37"/>
      <c r="C12" s="37"/>
      <c r="D12" s="135"/>
      <c r="E12" s="37"/>
      <c r="F12" s="149" t="s">
        <v>177</v>
      </c>
      <c r="G12" s="35"/>
      <c r="H12" s="35"/>
      <c r="I12" s="142" t="s">
        <v>137</v>
      </c>
      <c r="J12" s="35"/>
    </row>
    <row r="13" spans="1:12" s="31" customFormat="1" outlineLevel="1">
      <c r="B13" s="37"/>
      <c r="C13" s="37"/>
      <c r="D13" s="135"/>
      <c r="E13" s="37"/>
      <c r="F13" s="37"/>
      <c r="G13" s="123" t="s">
        <v>151</v>
      </c>
      <c r="H13" s="123"/>
      <c r="I13" s="143"/>
      <c r="J13" s="35"/>
    </row>
    <row r="14" spans="1:12" s="31" customFormat="1" outlineLevel="1">
      <c r="B14" s="37"/>
      <c r="C14" s="37"/>
      <c r="D14" s="135"/>
      <c r="E14" s="36"/>
      <c r="F14" s="36"/>
      <c r="G14" s="123" t="s">
        <v>152</v>
      </c>
      <c r="H14" s="123"/>
      <c r="I14" s="142"/>
      <c r="J14" s="35"/>
    </row>
    <row r="15" spans="1:12" s="31" customFormat="1" ht="25.5" outlineLevel="1">
      <c r="B15" s="37"/>
      <c r="C15" s="37"/>
      <c r="D15" s="135"/>
      <c r="E15" s="124" t="s">
        <v>173</v>
      </c>
      <c r="F15" s="34"/>
      <c r="G15" s="134"/>
      <c r="H15" s="134"/>
      <c r="I15" s="142"/>
      <c r="J15" s="35"/>
    </row>
    <row r="16" spans="1:12" s="31" customFormat="1" ht="25.5" outlineLevel="1">
      <c r="B16" s="37"/>
      <c r="C16" s="37"/>
      <c r="D16" s="135"/>
      <c r="E16" s="149"/>
      <c r="F16" s="34" t="s">
        <v>144</v>
      </c>
      <c r="G16" s="134"/>
      <c r="H16" s="134"/>
      <c r="I16" s="142"/>
      <c r="J16" s="35"/>
    </row>
    <row r="17" spans="2:10" s="31" customFormat="1" ht="25.5" outlineLevel="1">
      <c r="B17" s="37"/>
      <c r="C17" s="37"/>
      <c r="D17" s="135"/>
      <c r="E17" s="36"/>
      <c r="F17" s="123" t="s">
        <v>145</v>
      </c>
      <c r="G17" s="36"/>
      <c r="H17" s="36"/>
      <c r="I17" s="142"/>
      <c r="J17" s="35"/>
    </row>
    <row r="18" spans="2:10" s="31" customFormat="1" ht="25.5" outlineLevel="1">
      <c r="B18" s="37"/>
      <c r="C18" s="37"/>
      <c r="D18" s="135"/>
      <c r="E18" s="149" t="s">
        <v>174</v>
      </c>
      <c r="F18" s="35"/>
      <c r="G18" s="154"/>
      <c r="H18" s="154"/>
      <c r="I18" s="142" t="s">
        <v>181</v>
      </c>
      <c r="J18" s="35"/>
    </row>
    <row r="19" spans="2:10" s="31" customFormat="1" ht="25.5" outlineLevel="1">
      <c r="B19" s="37"/>
      <c r="C19" s="37"/>
      <c r="D19" s="135"/>
      <c r="E19" s="37"/>
      <c r="F19" s="150" t="s">
        <v>178</v>
      </c>
      <c r="G19" s="140"/>
      <c r="H19" s="140"/>
      <c r="I19" s="142" t="s">
        <v>181</v>
      </c>
      <c r="J19" s="35"/>
    </row>
    <row r="20" spans="2:10" s="31" customFormat="1" ht="25.5" outlineLevel="1">
      <c r="B20" s="37"/>
      <c r="C20" s="37"/>
      <c r="D20" s="135"/>
      <c r="E20" s="132"/>
      <c r="F20" s="150" t="s">
        <v>179</v>
      </c>
      <c r="G20" s="36"/>
      <c r="H20" s="36"/>
      <c r="I20" s="142" t="s">
        <v>181</v>
      </c>
      <c r="J20" s="35"/>
    </row>
    <row r="21" spans="2:10" s="31" customFormat="1" ht="25.5" outlineLevel="1">
      <c r="B21" s="37"/>
      <c r="C21" s="37"/>
      <c r="D21" s="135"/>
      <c r="E21" s="133"/>
      <c r="F21" s="150" t="s">
        <v>180</v>
      </c>
      <c r="G21" s="36"/>
      <c r="H21" s="36"/>
      <c r="I21" s="142" t="s">
        <v>181</v>
      </c>
      <c r="J21" s="35"/>
    </row>
    <row r="22" spans="2:10" s="31" customFormat="1" ht="15" outlineLevel="1">
      <c r="B22" s="37"/>
      <c r="C22" s="37"/>
      <c r="D22" s="138" t="s">
        <v>161</v>
      </c>
      <c r="E22" s="151"/>
      <c r="F22" s="35"/>
      <c r="G22" s="35"/>
      <c r="H22" s="35"/>
      <c r="I22" s="142"/>
      <c r="J22" s="35"/>
    </row>
    <row r="23" spans="2:10" s="31" customFormat="1" ht="15" outlineLevel="1">
      <c r="B23" s="37"/>
      <c r="C23" s="37"/>
      <c r="D23" s="138" t="s">
        <v>162</v>
      </c>
      <c r="E23" s="151"/>
      <c r="F23" s="35"/>
      <c r="G23" s="35"/>
      <c r="H23" s="35"/>
      <c r="I23" s="142"/>
      <c r="J23" s="35"/>
    </row>
    <row r="24" spans="2:10" s="31" customFormat="1" ht="15" outlineLevel="1">
      <c r="B24" s="37"/>
      <c r="C24" s="37"/>
      <c r="D24" s="138" t="s">
        <v>163</v>
      </c>
      <c r="E24" s="151"/>
      <c r="F24" s="35"/>
      <c r="G24" s="35"/>
      <c r="H24" s="35"/>
      <c r="I24" s="142"/>
      <c r="J24" s="35"/>
    </row>
    <row r="25" spans="2:10" s="31" customFormat="1" ht="15" outlineLevel="1">
      <c r="B25" s="37"/>
      <c r="C25" s="37"/>
      <c r="D25" s="138" t="s">
        <v>164</v>
      </c>
      <c r="E25" s="151"/>
      <c r="F25" s="35"/>
      <c r="G25" s="35"/>
      <c r="H25" s="35"/>
      <c r="I25" s="142"/>
      <c r="J25" s="35"/>
    </row>
    <row r="26" spans="2:10" s="31" customFormat="1" ht="15" outlineLevel="1">
      <c r="B26" s="37"/>
      <c r="C26" s="37"/>
      <c r="D26" s="138" t="s">
        <v>165</v>
      </c>
      <c r="E26" s="151"/>
      <c r="F26" s="35"/>
      <c r="G26" s="35"/>
      <c r="H26" s="35"/>
      <c r="I26" s="142"/>
      <c r="J26" s="35"/>
    </row>
    <row r="27" spans="2:10" s="31" customFormat="1" ht="15" outlineLevel="1">
      <c r="B27" s="37"/>
      <c r="C27" s="37"/>
      <c r="D27" s="138" t="s">
        <v>166</v>
      </c>
      <c r="E27" s="151"/>
      <c r="F27" s="35"/>
      <c r="G27" s="35"/>
      <c r="H27" s="35"/>
      <c r="I27" s="142"/>
      <c r="J27" s="35"/>
    </row>
    <row r="28" spans="2:10" s="31" customFormat="1" ht="15" outlineLevel="1">
      <c r="B28" s="37"/>
      <c r="C28" s="37"/>
      <c r="D28" s="138" t="s">
        <v>167</v>
      </c>
      <c r="E28" s="151"/>
      <c r="F28" s="35"/>
      <c r="G28" s="35"/>
      <c r="H28" s="35"/>
      <c r="I28" s="142"/>
      <c r="J28" s="35"/>
    </row>
    <row r="29" spans="2:10" s="31" customFormat="1" ht="15" outlineLevel="1">
      <c r="B29" s="37"/>
      <c r="C29" s="37"/>
      <c r="D29" s="138" t="s">
        <v>168</v>
      </c>
      <c r="E29" s="151"/>
      <c r="F29" s="35"/>
      <c r="G29" s="35"/>
      <c r="H29" s="35"/>
      <c r="I29" s="142"/>
      <c r="J29" s="35"/>
    </row>
    <row r="30" spans="2:10" s="31" customFormat="1" ht="15" outlineLevel="1">
      <c r="B30" s="37"/>
      <c r="C30" s="37"/>
      <c r="D30" s="138" t="s">
        <v>169</v>
      </c>
      <c r="E30" s="151"/>
      <c r="F30" s="35"/>
      <c r="G30" s="35"/>
      <c r="H30" s="35"/>
      <c r="I30" s="142"/>
      <c r="J30" s="35"/>
    </row>
    <row r="31" spans="2:10" s="31" customFormat="1" ht="15" outlineLevel="1">
      <c r="B31" s="37"/>
      <c r="C31" s="37"/>
      <c r="D31" s="138" t="s">
        <v>170</v>
      </c>
      <c r="E31" s="151"/>
      <c r="F31" s="35"/>
      <c r="G31" s="35"/>
      <c r="H31" s="35"/>
      <c r="I31" s="142"/>
      <c r="J31" s="35"/>
    </row>
    <row r="32" spans="2:10" s="31" customFormat="1" ht="15" outlineLevel="1">
      <c r="B32" s="37"/>
      <c r="C32" s="37"/>
      <c r="D32" s="137" t="s">
        <v>171</v>
      </c>
      <c r="E32" s="151"/>
      <c r="F32" s="35"/>
      <c r="G32" s="35"/>
      <c r="H32" s="35"/>
      <c r="I32" s="142"/>
      <c r="J32" s="35"/>
    </row>
    <row r="33" spans="2:10" s="31" customFormat="1" outlineLevel="1">
      <c r="B33" s="37"/>
      <c r="C33" s="32" t="s">
        <v>140</v>
      </c>
      <c r="D33" s="139"/>
      <c r="E33" s="149"/>
      <c r="F33" s="36"/>
      <c r="G33" s="35"/>
      <c r="H33" s="35"/>
      <c r="I33" s="33" t="s">
        <v>130</v>
      </c>
      <c r="J33" s="35"/>
    </row>
    <row r="34" spans="2:10" s="31" customFormat="1" outlineLevel="1">
      <c r="B34" s="37"/>
      <c r="C34" s="37"/>
      <c r="D34" s="147" t="s">
        <v>160</v>
      </c>
      <c r="E34" s="35"/>
      <c r="F34" s="35"/>
      <c r="G34" s="35"/>
      <c r="H34" s="35"/>
      <c r="I34" s="142" t="s">
        <v>131</v>
      </c>
      <c r="J34" s="35"/>
    </row>
    <row r="35" spans="2:10" s="31" customFormat="1" outlineLevel="1">
      <c r="B35" s="37"/>
      <c r="C35" s="37"/>
      <c r="D35" s="135"/>
      <c r="E35" s="123" t="s">
        <v>158</v>
      </c>
      <c r="F35" s="36"/>
      <c r="G35" s="36"/>
      <c r="H35" s="36"/>
      <c r="I35" s="142" t="s">
        <v>133</v>
      </c>
      <c r="J35" s="35"/>
    </row>
    <row r="36" spans="2:10" s="31" customFormat="1" ht="38.25" outlineLevel="1">
      <c r="B36" s="37"/>
      <c r="C36" s="37"/>
      <c r="D36" s="135"/>
      <c r="E36" s="149" t="s">
        <v>172</v>
      </c>
      <c r="F36" s="35"/>
      <c r="G36" s="35"/>
      <c r="H36" s="35"/>
      <c r="I36" s="142" t="s">
        <v>135</v>
      </c>
      <c r="J36" s="35"/>
    </row>
    <row r="37" spans="2:10" s="31" customFormat="1" ht="25.5" outlineLevel="1">
      <c r="B37" s="37"/>
      <c r="C37" s="37"/>
      <c r="D37" s="135"/>
      <c r="E37" s="37"/>
      <c r="F37" s="123" t="s">
        <v>175</v>
      </c>
      <c r="G37" s="36"/>
      <c r="H37" s="36"/>
      <c r="I37" s="38" t="s">
        <v>132</v>
      </c>
      <c r="J37" s="35"/>
    </row>
    <row r="38" spans="2:10" s="31" customFormat="1" ht="63.75" outlineLevel="1">
      <c r="B38" s="37"/>
      <c r="C38" s="37"/>
      <c r="D38" s="135"/>
      <c r="E38" s="37"/>
      <c r="F38" s="34" t="s">
        <v>176</v>
      </c>
      <c r="G38" s="35"/>
      <c r="H38" s="35"/>
      <c r="J38" s="35"/>
    </row>
    <row r="39" spans="2:10" s="31" customFormat="1" ht="38.25" outlineLevel="1">
      <c r="B39" s="37"/>
      <c r="C39" s="37"/>
      <c r="D39" s="135"/>
      <c r="E39" s="37"/>
      <c r="F39" s="149" t="s">
        <v>177</v>
      </c>
      <c r="G39" s="35"/>
      <c r="H39" s="35"/>
      <c r="I39" s="142" t="s">
        <v>137</v>
      </c>
      <c r="J39" s="35"/>
    </row>
    <row r="40" spans="2:10" s="31" customFormat="1" ht="25.5" outlineLevel="1">
      <c r="B40" s="37"/>
      <c r="C40" s="37"/>
      <c r="D40" s="135"/>
      <c r="E40" s="124" t="s">
        <v>173</v>
      </c>
      <c r="F40" s="34"/>
      <c r="G40" s="134"/>
      <c r="H40" s="134"/>
      <c r="I40" s="142"/>
      <c r="J40" s="35"/>
    </row>
    <row r="41" spans="2:10" s="31" customFormat="1" ht="25.5" outlineLevel="1">
      <c r="B41" s="37"/>
      <c r="C41" s="37"/>
      <c r="D41" s="135"/>
      <c r="E41" s="149"/>
      <c r="F41" s="34" t="s">
        <v>144</v>
      </c>
      <c r="G41" s="134"/>
      <c r="H41" s="134"/>
      <c r="I41" s="142"/>
      <c r="J41" s="35"/>
    </row>
    <row r="42" spans="2:10" s="31" customFormat="1" ht="25.5" outlineLevel="1">
      <c r="B42" s="37"/>
      <c r="C42" s="37"/>
      <c r="D42" s="135"/>
      <c r="E42" s="36"/>
      <c r="F42" s="123" t="s">
        <v>145</v>
      </c>
      <c r="G42" s="36"/>
      <c r="H42" s="36"/>
      <c r="I42" s="142"/>
      <c r="J42" s="35"/>
    </row>
    <row r="43" spans="2:10" s="31" customFormat="1" ht="25.5" outlineLevel="1">
      <c r="B43" s="37"/>
      <c r="C43" s="37"/>
      <c r="D43" s="135"/>
      <c r="E43" s="149" t="s">
        <v>174</v>
      </c>
      <c r="F43" s="35"/>
      <c r="G43" s="154"/>
      <c r="H43" s="154"/>
      <c r="I43" s="142" t="s">
        <v>181</v>
      </c>
      <c r="J43" s="35"/>
    </row>
    <row r="44" spans="2:10" s="31" customFormat="1" ht="25.5" outlineLevel="1">
      <c r="B44" s="37"/>
      <c r="C44" s="37"/>
      <c r="D44" s="135"/>
      <c r="E44" s="37"/>
      <c r="F44" s="150" t="s">
        <v>178</v>
      </c>
      <c r="G44" s="140"/>
      <c r="H44" s="140"/>
      <c r="I44" s="142" t="s">
        <v>181</v>
      </c>
      <c r="J44" s="35"/>
    </row>
    <row r="45" spans="2:10" s="31" customFormat="1" ht="38.25" outlineLevel="1">
      <c r="B45" s="37"/>
      <c r="C45" s="37"/>
      <c r="D45" s="135"/>
      <c r="E45" s="132"/>
      <c r="F45" s="150" t="s">
        <v>179</v>
      </c>
      <c r="G45" s="36"/>
      <c r="H45" s="36"/>
      <c r="I45" s="142" t="s">
        <v>181</v>
      </c>
      <c r="J45" s="35" t="s">
        <v>136</v>
      </c>
    </row>
    <row r="46" spans="2:10" s="31" customFormat="1" ht="25.5" outlineLevel="1">
      <c r="B46" s="37"/>
      <c r="C46" s="37"/>
      <c r="D46" s="135"/>
      <c r="E46" s="133"/>
      <c r="F46" s="150" t="s">
        <v>180</v>
      </c>
      <c r="G46" s="36"/>
      <c r="H46" s="36"/>
      <c r="I46" s="142" t="s">
        <v>181</v>
      </c>
      <c r="J46" s="35"/>
    </row>
    <row r="47" spans="2:10" s="31" customFormat="1" ht="15" outlineLevel="1">
      <c r="B47" s="37"/>
      <c r="C47" s="37"/>
      <c r="D47" s="138" t="s">
        <v>161</v>
      </c>
      <c r="E47" s="151"/>
      <c r="F47" s="35"/>
      <c r="G47" s="35"/>
      <c r="H47" s="35"/>
      <c r="I47" s="142"/>
      <c r="J47" s="35"/>
    </row>
    <row r="48" spans="2:10" s="31" customFormat="1" ht="15" outlineLevel="1">
      <c r="B48" s="37"/>
      <c r="C48" s="37"/>
      <c r="D48" s="138" t="s">
        <v>162</v>
      </c>
      <c r="E48" s="151"/>
      <c r="F48" s="35"/>
      <c r="G48" s="35"/>
      <c r="H48" s="35"/>
      <c r="I48" s="142"/>
      <c r="J48" s="35"/>
    </row>
    <row r="49" spans="2:10" s="31" customFormat="1" ht="15" outlineLevel="1">
      <c r="B49" s="37"/>
      <c r="C49" s="37"/>
      <c r="D49" s="138" t="s">
        <v>163</v>
      </c>
      <c r="E49" s="151"/>
      <c r="F49" s="35"/>
      <c r="G49" s="35"/>
      <c r="H49" s="35"/>
      <c r="I49" s="142"/>
      <c r="J49" s="35"/>
    </row>
    <row r="50" spans="2:10" s="31" customFormat="1" ht="15" outlineLevel="1">
      <c r="B50" s="37"/>
      <c r="C50" s="37"/>
      <c r="D50" s="138" t="s">
        <v>164</v>
      </c>
      <c r="E50" s="151"/>
      <c r="F50" s="35"/>
      <c r="G50" s="35"/>
      <c r="H50" s="35"/>
      <c r="I50" s="142"/>
      <c r="J50" s="35"/>
    </row>
    <row r="51" spans="2:10" s="31" customFormat="1" ht="15" outlineLevel="1">
      <c r="B51" s="37"/>
      <c r="C51" s="37"/>
      <c r="D51" s="138" t="s">
        <v>165</v>
      </c>
      <c r="E51" s="151"/>
      <c r="F51" s="35"/>
      <c r="G51" s="35"/>
      <c r="H51" s="35"/>
      <c r="I51" s="142"/>
      <c r="J51" s="35"/>
    </row>
    <row r="52" spans="2:10" s="31" customFormat="1" ht="15" outlineLevel="1">
      <c r="B52" s="37"/>
      <c r="C52" s="37"/>
      <c r="D52" s="138" t="s">
        <v>166</v>
      </c>
      <c r="E52" s="151"/>
      <c r="F52" s="35"/>
      <c r="G52" s="35"/>
      <c r="H52" s="35"/>
      <c r="I52" s="142"/>
      <c r="J52" s="35"/>
    </row>
    <row r="53" spans="2:10" s="31" customFormat="1" ht="15" outlineLevel="1">
      <c r="B53" s="37"/>
      <c r="C53" s="37"/>
      <c r="D53" s="138" t="s">
        <v>167</v>
      </c>
      <c r="E53" s="151"/>
      <c r="F53" s="35"/>
      <c r="G53" s="35"/>
      <c r="H53" s="35"/>
      <c r="I53" s="142"/>
      <c r="J53" s="35"/>
    </row>
    <row r="54" spans="2:10" s="31" customFormat="1" ht="15" outlineLevel="1">
      <c r="B54" s="37"/>
      <c r="C54" s="37"/>
      <c r="D54" s="138" t="s">
        <v>168</v>
      </c>
      <c r="E54" s="151"/>
      <c r="F54" s="35"/>
      <c r="G54" s="35"/>
      <c r="H54" s="35"/>
      <c r="I54" s="142"/>
      <c r="J54" s="35"/>
    </row>
    <row r="55" spans="2:10" s="31" customFormat="1" ht="15" outlineLevel="1">
      <c r="B55" s="37"/>
      <c r="C55" s="37"/>
      <c r="D55" s="138" t="s">
        <v>169</v>
      </c>
      <c r="E55" s="151"/>
      <c r="F55" s="35"/>
      <c r="G55" s="35"/>
      <c r="H55" s="35"/>
      <c r="I55" s="142"/>
      <c r="J55" s="35"/>
    </row>
    <row r="56" spans="2:10" s="31" customFormat="1" ht="15" outlineLevel="1">
      <c r="B56" s="37"/>
      <c r="C56" s="37"/>
      <c r="D56" s="138" t="s">
        <v>170</v>
      </c>
      <c r="E56" s="151"/>
      <c r="F56" s="35"/>
      <c r="G56" s="35"/>
      <c r="H56" s="35"/>
      <c r="I56" s="142"/>
      <c r="J56" s="35"/>
    </row>
    <row r="57" spans="2:10" s="31" customFormat="1" ht="15" outlineLevel="1">
      <c r="B57" s="37"/>
      <c r="C57" s="37"/>
      <c r="D57" s="137" t="s">
        <v>171</v>
      </c>
      <c r="E57" s="151"/>
      <c r="F57" s="35"/>
      <c r="G57" s="35"/>
      <c r="H57" s="35"/>
      <c r="I57" s="142"/>
      <c r="J57" s="35"/>
    </row>
    <row r="58" spans="2:10" s="31" customFormat="1" outlineLevel="1">
      <c r="B58" s="37"/>
      <c r="C58" s="36" t="s">
        <v>141</v>
      </c>
      <c r="D58" s="36"/>
      <c r="E58" s="36"/>
      <c r="F58" s="36"/>
      <c r="G58" s="36"/>
      <c r="H58" s="36"/>
      <c r="I58" s="38" t="s">
        <v>129</v>
      </c>
      <c r="J58" s="35"/>
    </row>
    <row r="59" spans="2:10" s="31" customFormat="1" ht="38.25" outlineLevel="1">
      <c r="B59" s="36"/>
      <c r="C59" s="36" t="s">
        <v>153</v>
      </c>
      <c r="D59" s="36"/>
      <c r="E59" s="36"/>
      <c r="F59" s="36"/>
      <c r="G59" s="36"/>
      <c r="H59" s="36"/>
      <c r="I59" s="38" t="s">
        <v>154</v>
      </c>
      <c r="J59" s="35"/>
    </row>
    <row r="60" spans="2:10" ht="8.25" customHeight="1">
      <c r="C60" s="144"/>
    </row>
    <row r="61" spans="2:10" s="31" customFormat="1" ht="25.5" outlineLevel="1">
      <c r="B61" s="32" t="s">
        <v>142</v>
      </c>
      <c r="C61" s="35"/>
      <c r="D61" s="33"/>
      <c r="E61" s="33"/>
      <c r="F61" s="33"/>
      <c r="G61" s="33"/>
      <c r="H61" s="33"/>
      <c r="I61" s="35"/>
      <c r="J61" s="32" t="s">
        <v>159</v>
      </c>
    </row>
    <row r="62" spans="2:10" s="31" customFormat="1" ht="25.5" outlineLevel="1">
      <c r="B62" s="36"/>
      <c r="C62" s="33" t="s">
        <v>143</v>
      </c>
      <c r="D62" s="33"/>
      <c r="E62" s="33"/>
      <c r="F62" s="33"/>
      <c r="G62" s="33"/>
      <c r="H62" s="33"/>
      <c r="I62" s="35"/>
      <c r="J62" s="36"/>
    </row>
  </sheetData>
  <sortState ref="D10:D20">
    <sortCondition descending="1" ref="D9"/>
  </sortState>
  <conditionalFormatting sqref="E8:E9 D7 F19:F21 C58:I58 G18:H19 E15:E16 E18 G13:H16 E20:E32 F10:F12 F15 D22:D32 I6:I10 I12:I33 B5:B32 C6:C32 B63:I2930 B59:I60 D61:I61 C62:I62 B61:B62 B33:C48 G40:H41 I39:I57">
    <cfRule type="expression" dxfId="47" priority="21">
      <formula>B5="-"</formula>
    </cfRule>
  </conditionalFormatting>
  <conditionalFormatting sqref="B49:C57 B58">
    <cfRule type="expression" dxfId="46" priority="14">
      <formula>B49="-"</formula>
    </cfRule>
  </conditionalFormatting>
  <conditionalFormatting sqref="F16:F17">
    <cfRule type="expression" dxfId="45" priority="8">
      <formula>F16="-"</formula>
    </cfRule>
  </conditionalFormatting>
  <conditionalFormatting sqref="D33">
    <cfRule type="expression" dxfId="44" priority="7">
      <formula>D33="-"</formula>
    </cfRule>
  </conditionalFormatting>
  <conditionalFormatting sqref="F41:F42">
    <cfRule type="expression" dxfId="43" priority="1">
      <formula>F41="-"</formula>
    </cfRule>
  </conditionalFormatting>
  <conditionalFormatting sqref="E33">
    <cfRule type="expression" dxfId="42" priority="4">
      <formula>E33="-"</formula>
    </cfRule>
  </conditionalFormatting>
  <conditionalFormatting sqref="E35:E36 D34 F44:F46 G43:H44 E40:E41 E43 E45:E57 F37:F40 D47:D57 I34:I37">
    <cfRule type="expression" dxfId="41" priority="2">
      <formula>D34="-"</formula>
    </cfRule>
  </conditionalFormatting>
  <pageMargins left="0" right="0" top="0" bottom="0.25" header="0" footer="0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0"/>
  <sheetViews>
    <sheetView tabSelected="1" zoomScale="115" zoomScaleNormal="115" workbookViewId="0">
      <selection activeCell="F7" sqref="F7"/>
    </sheetView>
  </sheetViews>
  <sheetFormatPr defaultRowHeight="15"/>
  <cols>
    <col min="1" max="1" width="9.140625" style="160"/>
    <col min="2" max="2" width="21.5703125" style="170" customWidth="1"/>
    <col min="3" max="3" width="30.140625" style="170" customWidth="1"/>
    <col min="4" max="4" width="34.5703125" style="170" customWidth="1"/>
    <col min="5" max="5" width="29.42578125" style="170" customWidth="1"/>
    <col min="6" max="6" width="21.5703125" style="170" customWidth="1"/>
    <col min="7" max="7" width="47.85546875" style="170" customWidth="1"/>
    <col min="8" max="8" width="51.85546875" style="170" customWidth="1"/>
    <col min="9" max="16384" width="9.140625" style="160"/>
  </cols>
  <sheetData>
    <row r="2" spans="2:8" ht="30">
      <c r="B2" s="156" t="s">
        <v>34</v>
      </c>
      <c r="C2" s="159"/>
      <c r="D2" s="158"/>
      <c r="E2" s="158"/>
      <c r="F2" s="158"/>
      <c r="G2" s="156"/>
      <c r="H2" s="156"/>
    </row>
    <row r="3" spans="2:8" ht="15.75" thickBot="1">
      <c r="B3" s="161"/>
      <c r="C3" s="161"/>
      <c r="D3" s="161"/>
      <c r="E3" s="161"/>
      <c r="F3" s="161"/>
      <c r="G3" s="164"/>
      <c r="H3" s="164"/>
    </row>
    <row r="4" spans="2:8">
      <c r="B4" s="171" t="s">
        <v>43</v>
      </c>
      <c r="C4" s="172" t="s">
        <v>44</v>
      </c>
      <c r="D4" s="172" t="s">
        <v>45</v>
      </c>
      <c r="E4" s="172" t="s">
        <v>46</v>
      </c>
      <c r="F4" s="172" t="s">
        <v>182</v>
      </c>
      <c r="G4" s="173" t="s">
        <v>39</v>
      </c>
      <c r="H4" s="206" t="s">
        <v>31</v>
      </c>
    </row>
    <row r="5" spans="2:8">
      <c r="B5" s="174"/>
      <c r="C5" s="175"/>
      <c r="D5" s="175"/>
      <c r="E5" s="175"/>
      <c r="F5" s="175"/>
      <c r="G5" s="176"/>
      <c r="H5" s="290"/>
    </row>
    <row r="6" spans="2:8" ht="31.5">
      <c r="B6" s="270" t="s">
        <v>308</v>
      </c>
      <c r="C6" s="185"/>
      <c r="D6" s="185"/>
      <c r="E6" s="185"/>
      <c r="F6" s="185" t="s">
        <v>32</v>
      </c>
      <c r="G6" s="185" t="s">
        <v>337</v>
      </c>
      <c r="H6" s="291"/>
    </row>
    <row r="7" spans="2:8" ht="157.5">
      <c r="B7" s="184"/>
      <c r="C7" s="185" t="s">
        <v>346</v>
      </c>
      <c r="D7" s="185"/>
      <c r="E7" s="185"/>
      <c r="F7" s="185" t="s">
        <v>336</v>
      </c>
      <c r="G7" s="185"/>
      <c r="H7" s="291"/>
    </row>
    <row r="8" spans="2:8" ht="15.75">
      <c r="B8" s="184"/>
      <c r="C8" s="186"/>
      <c r="D8" s="186"/>
      <c r="E8" s="186"/>
      <c r="G8" s="186"/>
      <c r="H8" s="291"/>
    </row>
    <row r="9" spans="2:8" ht="31.5">
      <c r="B9" s="270" t="s">
        <v>322</v>
      </c>
      <c r="C9" s="185"/>
      <c r="D9" s="185"/>
      <c r="E9" s="185"/>
      <c r="F9" s="262"/>
      <c r="G9" s="185" t="s">
        <v>338</v>
      </c>
      <c r="H9" s="291"/>
    </row>
    <row r="10" spans="2:8" ht="157.5">
      <c r="B10" s="267"/>
      <c r="C10" s="185" t="s">
        <v>346</v>
      </c>
      <c r="D10" s="185"/>
      <c r="E10" s="185"/>
      <c r="F10" s="185"/>
      <c r="G10" s="190"/>
      <c r="H10" s="291"/>
    </row>
    <row r="11" spans="2:8" ht="63">
      <c r="B11" s="268"/>
      <c r="C11" s="198" t="s">
        <v>325</v>
      </c>
      <c r="D11" s="186"/>
      <c r="E11" s="186"/>
      <c r="F11" s="185" t="s">
        <v>197</v>
      </c>
      <c r="G11" s="190"/>
      <c r="H11" s="291"/>
    </row>
    <row r="12" spans="2:8" ht="15.75">
      <c r="B12" s="268"/>
      <c r="C12" s="262"/>
      <c r="D12" s="185"/>
      <c r="E12" s="193"/>
      <c r="F12" s="185"/>
      <c r="G12" s="193"/>
      <c r="H12" s="291"/>
    </row>
    <row r="13" spans="2:8" ht="30">
      <c r="B13" s="270" t="s">
        <v>309</v>
      </c>
      <c r="C13" s="189"/>
      <c r="D13" s="185"/>
      <c r="E13" s="193"/>
      <c r="F13" s="185"/>
      <c r="G13" s="300" t="s">
        <v>340</v>
      </c>
      <c r="H13" s="291"/>
    </row>
    <row r="14" spans="2:8" ht="15.75">
      <c r="B14" s="204"/>
      <c r="C14" s="202" t="s">
        <v>312</v>
      </c>
      <c r="D14" s="274"/>
      <c r="E14" s="193"/>
      <c r="F14" s="185" t="s">
        <v>318</v>
      </c>
      <c r="G14" s="194"/>
      <c r="H14" s="292" t="s">
        <v>311</v>
      </c>
    </row>
    <row r="15" spans="2:8" ht="15.75">
      <c r="B15" s="188"/>
      <c r="C15" s="193" t="s">
        <v>313</v>
      </c>
      <c r="D15" s="272"/>
      <c r="E15" s="193"/>
      <c r="F15" s="185" t="s">
        <v>197</v>
      </c>
      <c r="G15" s="194"/>
      <c r="H15" s="292" t="s">
        <v>311</v>
      </c>
    </row>
    <row r="16" spans="2:8" ht="15.75">
      <c r="B16" s="188"/>
      <c r="C16" s="193" t="s">
        <v>314</v>
      </c>
      <c r="D16" s="274"/>
      <c r="E16" s="195"/>
      <c r="F16" s="185" t="s">
        <v>197</v>
      </c>
      <c r="G16" s="194"/>
      <c r="H16" s="292" t="s">
        <v>311</v>
      </c>
    </row>
    <row r="17" spans="2:8" ht="15.75">
      <c r="B17" s="188"/>
      <c r="C17" s="193" t="s">
        <v>315</v>
      </c>
      <c r="D17" s="277"/>
      <c r="E17" s="193"/>
      <c r="F17" s="185" t="s">
        <v>197</v>
      </c>
      <c r="G17" s="194"/>
      <c r="H17" s="292" t="s">
        <v>311</v>
      </c>
    </row>
    <row r="18" spans="2:8" ht="15.75">
      <c r="B18" s="268"/>
      <c r="C18" s="280" t="s">
        <v>316</v>
      </c>
      <c r="D18" s="262"/>
      <c r="E18" s="197"/>
      <c r="F18" s="185" t="s">
        <v>197</v>
      </c>
      <c r="G18" s="194"/>
      <c r="H18" s="292" t="s">
        <v>311</v>
      </c>
    </row>
    <row r="19" spans="2:8" ht="15.75">
      <c r="B19" s="268"/>
      <c r="C19" s="271" t="s">
        <v>317</v>
      </c>
      <c r="D19" s="262"/>
      <c r="E19" s="197"/>
      <c r="F19" s="185" t="s">
        <v>197</v>
      </c>
      <c r="G19" s="194"/>
      <c r="H19" s="292" t="s">
        <v>311</v>
      </c>
    </row>
    <row r="20" spans="2:8" ht="15.75">
      <c r="B20" s="276"/>
      <c r="C20" s="262"/>
      <c r="D20" s="262"/>
      <c r="E20" s="197"/>
      <c r="F20" s="185"/>
      <c r="G20" s="194"/>
      <c r="H20" s="291"/>
    </row>
    <row r="21" spans="2:8" ht="15.75">
      <c r="B21" s="270" t="s">
        <v>310</v>
      </c>
      <c r="C21" s="271"/>
      <c r="D21" s="262"/>
      <c r="E21" s="193"/>
      <c r="F21" s="185"/>
      <c r="G21" t="s">
        <v>339</v>
      </c>
      <c r="H21" s="291"/>
    </row>
    <row r="22" spans="2:8" ht="15.75">
      <c r="B22" s="261"/>
      <c r="C22" s="271" t="s">
        <v>307</v>
      </c>
      <c r="D22" s="262"/>
      <c r="E22" s="193"/>
      <c r="F22" s="185"/>
      <c r="G22" s="194"/>
      <c r="H22" s="291"/>
    </row>
    <row r="23" spans="2:8" ht="15.75">
      <c r="B23" s="261"/>
      <c r="C23" s="271" t="s">
        <v>319</v>
      </c>
      <c r="D23" s="262"/>
      <c r="E23" s="193"/>
      <c r="F23" s="185"/>
      <c r="G23" s="194"/>
      <c r="H23" s="291"/>
    </row>
    <row r="24" spans="2:8" ht="15.75">
      <c r="B24" s="261"/>
      <c r="C24" s="271" t="s">
        <v>320</v>
      </c>
      <c r="D24" s="262"/>
      <c r="E24" s="185"/>
      <c r="F24" s="197"/>
      <c r="G24" s="194"/>
      <c r="H24" s="291"/>
    </row>
    <row r="25" spans="2:8" ht="15.75">
      <c r="B25" s="265"/>
      <c r="C25" s="287" t="s">
        <v>321</v>
      </c>
      <c r="D25" s="262"/>
      <c r="E25" s="185"/>
      <c r="F25" s="197"/>
      <c r="G25" s="194"/>
      <c r="H25" s="291"/>
    </row>
    <row r="26" spans="2:8" ht="15.75">
      <c r="B26" s="266"/>
      <c r="C26" s="288" t="s">
        <v>326</v>
      </c>
      <c r="D26" s="262"/>
      <c r="E26" s="185"/>
      <c r="F26" s="185"/>
      <c r="G26" s="194"/>
      <c r="H26" s="291"/>
    </row>
    <row r="27" spans="2:8" ht="15.75">
      <c r="B27" s="278"/>
      <c r="C27" s="262"/>
      <c r="D27" s="279"/>
      <c r="E27" s="185"/>
      <c r="F27" s="198"/>
      <c r="G27" s="193"/>
      <c r="H27" s="291"/>
    </row>
    <row r="28" spans="2:8" ht="31.5">
      <c r="B28" s="302" t="s">
        <v>327</v>
      </c>
      <c r="C28" s="262"/>
      <c r="D28" s="262"/>
      <c r="E28" s="185"/>
      <c r="F28" s="199"/>
      <c r="G28" s="193" t="s">
        <v>341</v>
      </c>
      <c r="H28" s="291"/>
    </row>
    <row r="29" spans="2:8" ht="15.75">
      <c r="B29" s="301"/>
      <c r="C29" s="262" t="s">
        <v>353</v>
      </c>
      <c r="D29" s="273"/>
      <c r="E29" s="185"/>
      <c r="F29" s="199"/>
      <c r="G29" s="193"/>
      <c r="H29" s="291"/>
    </row>
    <row r="30" spans="2:8" ht="15.75">
      <c r="B30" s="269"/>
      <c r="C30" s="262" t="s">
        <v>347</v>
      </c>
      <c r="D30" s="273"/>
      <c r="E30" s="185"/>
      <c r="F30" s="185"/>
      <c r="G30" s="193" t="s">
        <v>342</v>
      </c>
      <c r="H30" s="291"/>
    </row>
    <row r="31" spans="2:8" ht="47.25">
      <c r="B31" s="269"/>
      <c r="C31" s="262"/>
      <c r="D31" s="281" t="s">
        <v>324</v>
      </c>
      <c r="E31" s="185"/>
      <c r="F31" s="185"/>
      <c r="G31" s="193"/>
      <c r="H31" s="291"/>
    </row>
    <row r="32" spans="2:8" ht="15.75">
      <c r="B32" s="269"/>
      <c r="C32" s="282"/>
      <c r="D32" s="283" t="s">
        <v>323</v>
      </c>
      <c r="E32" s="185"/>
      <c r="F32" s="185"/>
      <c r="G32" s="194"/>
      <c r="H32" s="291"/>
    </row>
    <row r="33" spans="2:8" ht="30">
      <c r="B33" s="268"/>
      <c r="C33" s="286" t="s">
        <v>348</v>
      </c>
      <c r="D33" s="262"/>
      <c r="E33" s="185"/>
      <c r="F33" s="185"/>
      <c r="G33" s="194" t="s">
        <v>343</v>
      </c>
      <c r="H33" s="291"/>
    </row>
    <row r="34" spans="2:8" ht="15.75">
      <c r="B34" s="188"/>
      <c r="C34" s="274" t="s">
        <v>349</v>
      </c>
      <c r="D34" s="262"/>
      <c r="E34" s="185"/>
      <c r="F34" s="185"/>
      <c r="G34" s="151" t="s">
        <v>345</v>
      </c>
      <c r="H34" s="292"/>
    </row>
    <row r="35" spans="2:8" ht="15.75">
      <c r="B35" s="188"/>
      <c r="C35" s="274" t="s">
        <v>350</v>
      </c>
      <c r="D35" s="262"/>
      <c r="E35" s="193"/>
      <c r="F35" s="232" t="s">
        <v>32</v>
      </c>
      <c r="G35" s="151" t="s">
        <v>345</v>
      </c>
      <c r="H35" s="291"/>
    </row>
    <row r="36" spans="2:8" ht="15.75">
      <c r="B36" s="268"/>
      <c r="C36" s="274" t="s">
        <v>351</v>
      </c>
      <c r="D36" s="262"/>
      <c r="E36" s="193"/>
      <c r="F36" s="230"/>
      <c r="G36" s="151" t="s">
        <v>345</v>
      </c>
      <c r="H36" s="291"/>
    </row>
    <row r="37" spans="2:8" ht="63">
      <c r="B37" s="268"/>
      <c r="C37" s="281" t="s">
        <v>354</v>
      </c>
      <c r="D37" s="262"/>
      <c r="E37" s="193"/>
      <c r="F37" s="232" t="s">
        <v>32</v>
      </c>
      <c r="G37" s="151" t="s">
        <v>345</v>
      </c>
      <c r="H37" s="292"/>
    </row>
    <row r="38" spans="2:8" ht="15.75">
      <c r="B38" s="269"/>
      <c r="C38" s="193" t="s">
        <v>352</v>
      </c>
      <c r="E38" s="202"/>
      <c r="F38" s="232" t="s">
        <v>32</v>
      </c>
      <c r="G38" s="151" t="s">
        <v>345</v>
      </c>
      <c r="H38" s="293"/>
    </row>
    <row r="39" spans="2:8" ht="15.75">
      <c r="B39" s="276"/>
      <c r="C39" s="262"/>
      <c r="D39" s="262"/>
      <c r="E39" s="185"/>
      <c r="F39" s="185"/>
      <c r="G39" s="185"/>
      <c r="H39" s="291"/>
    </row>
    <row r="40" spans="2:8" ht="47.25">
      <c r="B40" s="289" t="s">
        <v>335</v>
      </c>
      <c r="C40" s="262"/>
      <c r="D40" s="262"/>
      <c r="E40" s="193"/>
      <c r="F40" s="185"/>
      <c r="G40" s="203" t="s">
        <v>344</v>
      </c>
      <c r="H40" s="291"/>
    </row>
    <row r="41" spans="2:8">
      <c r="B41" s="269"/>
      <c r="C41" s="262" t="s">
        <v>328</v>
      </c>
      <c r="D41" s="262"/>
      <c r="E41" s="262"/>
      <c r="F41" s="163"/>
      <c r="G41" s="38"/>
      <c r="H41" s="296"/>
    </row>
    <row r="42" spans="2:8">
      <c r="B42" s="269"/>
      <c r="C42" s="262" t="s">
        <v>329</v>
      </c>
      <c r="D42" s="262"/>
      <c r="E42" s="262"/>
      <c r="F42" s="163"/>
      <c r="G42" s="38"/>
      <c r="H42" s="296"/>
    </row>
    <row r="43" spans="2:8">
      <c r="B43" s="269"/>
      <c r="C43" s="262" t="s">
        <v>330</v>
      </c>
      <c r="D43" s="262"/>
      <c r="E43" s="262"/>
      <c r="F43" s="163"/>
      <c r="G43" s="38"/>
      <c r="H43" s="296"/>
    </row>
    <row r="44" spans="2:8">
      <c r="B44" s="269"/>
      <c r="C44" s="262" t="s">
        <v>331</v>
      </c>
      <c r="D44" s="262"/>
      <c r="E44" s="163"/>
      <c r="F44" s="163"/>
      <c r="G44" s="262"/>
      <c r="H44" s="296"/>
    </row>
    <row r="45" spans="2:8">
      <c r="B45" s="269"/>
      <c r="C45" s="262" t="s">
        <v>332</v>
      </c>
      <c r="D45" s="262"/>
      <c r="E45" s="262"/>
      <c r="F45" s="262"/>
      <c r="G45" s="262"/>
      <c r="H45" s="296"/>
    </row>
    <row r="46" spans="2:8">
      <c r="B46" s="269"/>
      <c r="C46" s="262" t="s">
        <v>333</v>
      </c>
      <c r="D46" s="262"/>
      <c r="E46" s="163"/>
      <c r="F46" s="163"/>
      <c r="G46" s="275"/>
      <c r="H46" s="297"/>
    </row>
    <row r="47" spans="2:8">
      <c r="B47" s="269"/>
      <c r="C47" s="262" t="s">
        <v>334</v>
      </c>
      <c r="D47" s="262"/>
      <c r="E47" s="262"/>
      <c r="F47" s="262"/>
      <c r="G47" s="262"/>
      <c r="H47" s="298"/>
    </row>
    <row r="48" spans="2:8" ht="15.75" thickBot="1">
      <c r="B48" s="285"/>
      <c r="C48" s="294"/>
      <c r="D48" s="294"/>
      <c r="E48" s="295"/>
      <c r="F48" s="295"/>
      <c r="G48" s="295"/>
      <c r="H48" s="299"/>
    </row>
    <row r="49" spans="2:8">
      <c r="B49" s="157"/>
      <c r="C49" s="157"/>
      <c r="E49" s="157"/>
      <c r="F49" s="157"/>
      <c r="G49" s="157"/>
      <c r="H49" s="157"/>
    </row>
    <row r="50" spans="2:8">
      <c r="B50" s="157"/>
      <c r="C50" s="157"/>
      <c r="E50" s="157"/>
      <c r="F50" s="157"/>
      <c r="G50" s="157"/>
      <c r="H50" s="157"/>
    </row>
    <row r="51" spans="2:8">
      <c r="B51" s="157"/>
      <c r="C51" s="157"/>
      <c r="E51" s="157"/>
      <c r="F51" s="157"/>
      <c r="G51" s="157"/>
      <c r="H51" s="157"/>
    </row>
    <row r="52" spans="2:8">
      <c r="B52" s="157"/>
      <c r="C52" s="157"/>
      <c r="E52" s="157"/>
      <c r="F52" s="157"/>
      <c r="G52" s="157"/>
      <c r="H52" s="157"/>
    </row>
    <row r="53" spans="2:8">
      <c r="B53" s="157"/>
      <c r="C53" s="157"/>
      <c r="E53" s="157"/>
      <c r="F53" s="157"/>
      <c r="G53" s="157"/>
      <c r="H53" s="157"/>
    </row>
    <row r="54" spans="2:8">
      <c r="B54" s="284"/>
      <c r="C54" s="157"/>
      <c r="E54" s="157"/>
      <c r="F54" s="157"/>
      <c r="G54" s="157"/>
      <c r="H54" s="157"/>
    </row>
    <row r="55" spans="2:8">
      <c r="B55" s="168"/>
      <c r="C55" s="157"/>
      <c r="E55" s="157"/>
      <c r="F55" s="157"/>
      <c r="G55" s="157"/>
      <c r="H55" s="157"/>
    </row>
    <row r="56" spans="2:8">
      <c r="B56" s="168"/>
      <c r="C56" s="157"/>
      <c r="D56" s="157"/>
      <c r="E56" s="157"/>
      <c r="F56" s="157"/>
      <c r="G56" s="157"/>
      <c r="H56" s="157"/>
    </row>
    <row r="57" spans="2:8">
      <c r="B57" s="157"/>
      <c r="C57" s="157"/>
      <c r="D57" s="157"/>
      <c r="E57" s="157"/>
      <c r="F57" s="157"/>
      <c r="G57" s="157"/>
      <c r="H57" s="157"/>
    </row>
    <row r="58" spans="2:8">
      <c r="B58" s="157"/>
      <c r="C58" s="168"/>
      <c r="D58" s="157"/>
      <c r="E58" s="157"/>
      <c r="F58" s="157"/>
      <c r="G58" s="157"/>
      <c r="H58" s="157"/>
    </row>
    <row r="98" spans="2:3" ht="15.75">
      <c r="B98" s="185"/>
      <c r="C98" s="185"/>
    </row>
    <row r="99" spans="2:3" ht="15.75">
      <c r="B99" s="271"/>
      <c r="C99" s="262"/>
    </row>
    <row r="100" spans="2:3" ht="15.75">
      <c r="B100" s="262"/>
      <c r="C100" s="272"/>
    </row>
    <row r="101" spans="2:3" ht="15.75">
      <c r="B101" s="193"/>
    </row>
    <row r="105" spans="2:3">
      <c r="B105" s="262"/>
      <c r="C105" s="273"/>
    </row>
    <row r="106" spans="2:3" ht="15.75">
      <c r="B106" s="185"/>
      <c r="C106" s="273"/>
    </row>
    <row r="107" spans="2:3" ht="15.75">
      <c r="B107" s="262"/>
      <c r="C107" s="274"/>
    </row>
    <row r="108" spans="2:3" ht="15.75">
      <c r="B108" s="151"/>
      <c r="C108" s="263"/>
    </row>
    <row r="110" spans="2:3">
      <c r="B110" s="151"/>
      <c r="C110" s="160"/>
    </row>
    <row r="111" spans="2:3" ht="15.75">
      <c r="B111" s="262"/>
      <c r="C111" s="272"/>
    </row>
    <row r="112" spans="2:3">
      <c r="B112" s="151"/>
      <c r="C112" s="160"/>
    </row>
    <row r="113" spans="2:3">
      <c r="B113" s="151"/>
      <c r="C113" s="160"/>
    </row>
    <row r="114" spans="2:3" ht="15.75">
      <c r="B114" s="264"/>
      <c r="C114" s="185"/>
    </row>
    <row r="115" spans="2:3" ht="15.75">
      <c r="C115" s="185"/>
    </row>
    <row r="116" spans="2:3" ht="15.75">
      <c r="B116" s="160"/>
      <c r="C116" s="185"/>
    </row>
    <row r="117" spans="2:3" ht="15.75">
      <c r="B117" s="185"/>
      <c r="C117" s="185"/>
    </row>
    <row r="118" spans="2:3" ht="15.75">
      <c r="B118" s="160"/>
      <c r="C118" s="185"/>
    </row>
    <row r="119" spans="2:3" ht="15.75">
      <c r="C119" s="198"/>
    </row>
    <row r="120" spans="2:3" ht="15.75">
      <c r="B120" s="185"/>
      <c r="C120" s="163"/>
    </row>
  </sheetData>
  <conditionalFormatting sqref="E16 E18:E20 E40:E43 C58 F27:F29 E44:F44 E39:G39 E48:G48 D12 E6:G7 G14:G20 B55:B56 B6:C6 E8:E9 G8:G11 C114:C118 C100 C111 E46:G46 C120 D17 E24:F25 C13 C15 C98 B8:C9 B7 G22:G26 G32:G33 E26:E38 G40:G43">
    <cfRule type="expression" dxfId="40" priority="18">
      <formula>B6="-"</formula>
    </cfRule>
  </conditionalFormatting>
  <conditionalFormatting sqref="D13">
    <cfRule type="expression" dxfId="39" priority="17">
      <formula>D13="-"</formula>
    </cfRule>
  </conditionalFormatting>
  <conditionalFormatting sqref="H46">
    <cfRule type="expression" dxfId="38" priority="16">
      <formula>H46="-"</formula>
    </cfRule>
  </conditionalFormatting>
  <conditionalFormatting sqref="H16">
    <cfRule type="expression" dxfId="37" priority="11">
      <formula>H16="-"</formula>
    </cfRule>
  </conditionalFormatting>
  <conditionalFormatting sqref="H14">
    <cfRule type="expression" dxfId="36" priority="14">
      <formula>H14="-"</formula>
    </cfRule>
  </conditionalFormatting>
  <conditionalFormatting sqref="H17">
    <cfRule type="expression" dxfId="35" priority="10">
      <formula>H17="-"</formula>
    </cfRule>
  </conditionalFormatting>
  <conditionalFormatting sqref="H15">
    <cfRule type="expression" dxfId="34" priority="12">
      <formula>H15="-"</formula>
    </cfRule>
  </conditionalFormatting>
  <conditionalFormatting sqref="H18">
    <cfRule type="expression" dxfId="33" priority="9">
      <formula>H18="-"</formula>
    </cfRule>
  </conditionalFormatting>
  <conditionalFormatting sqref="H37">
    <cfRule type="expression" dxfId="32" priority="7">
      <formula>H37="-"</formula>
    </cfRule>
  </conditionalFormatting>
  <conditionalFormatting sqref="H34">
    <cfRule type="expression" dxfId="31" priority="6">
      <formula>H34="-"</formula>
    </cfRule>
  </conditionalFormatting>
  <conditionalFormatting sqref="C7">
    <cfRule type="expression" dxfId="30" priority="3">
      <formula>C7="-"</formula>
    </cfRule>
  </conditionalFormatting>
  <conditionalFormatting sqref="H19">
    <cfRule type="expression" dxfId="29" priority="4">
      <formula>H19="-"</formula>
    </cfRule>
  </conditionalFormatting>
  <conditionalFormatting sqref="C10">
    <cfRule type="expression" dxfId="28" priority="1">
      <formula>C10="-"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8"/>
  <sheetViews>
    <sheetView zoomScaleNormal="100" workbookViewId="0">
      <selection activeCell="D13" sqref="D13"/>
    </sheetView>
  </sheetViews>
  <sheetFormatPr defaultRowHeight="15"/>
  <cols>
    <col min="2" max="2" width="21.5703125" style="170" customWidth="1"/>
    <col min="3" max="3" width="24.7109375" style="170" customWidth="1"/>
    <col min="4" max="4" width="26.85546875" style="170" customWidth="1"/>
    <col min="5" max="5" width="29.42578125" style="170" customWidth="1"/>
    <col min="6" max="6" width="18.5703125" style="170" customWidth="1"/>
    <col min="7" max="7" width="47.85546875" style="170" customWidth="1"/>
    <col min="8" max="8" width="51.85546875" style="170" customWidth="1"/>
  </cols>
  <sheetData>
    <row r="2" spans="2:8" ht="30">
      <c r="B2" s="156" t="s">
        <v>34</v>
      </c>
      <c r="C2" s="159"/>
      <c r="D2" s="158"/>
      <c r="E2" s="158"/>
      <c r="F2" s="158"/>
      <c r="G2" s="156"/>
      <c r="H2" s="156"/>
    </row>
    <row r="3" spans="2:8" ht="15.75" thickBot="1">
      <c r="B3" s="161"/>
      <c r="C3" s="161"/>
      <c r="D3" s="161"/>
      <c r="E3" s="161"/>
      <c r="F3" s="161"/>
      <c r="G3" s="164"/>
      <c r="H3" s="164"/>
    </row>
    <row r="4" spans="2:8">
      <c r="B4" s="171" t="s">
        <v>43</v>
      </c>
      <c r="C4" s="172" t="s">
        <v>44</v>
      </c>
      <c r="D4" s="172" t="s">
        <v>45</v>
      </c>
      <c r="E4" s="172" t="s">
        <v>46</v>
      </c>
      <c r="F4" s="172" t="s">
        <v>182</v>
      </c>
      <c r="G4" s="173" t="s">
        <v>39</v>
      </c>
      <c r="H4" s="206" t="s">
        <v>31</v>
      </c>
    </row>
    <row r="5" spans="2:8" s="160" customFormat="1">
      <c r="B5" s="174"/>
      <c r="C5" s="175"/>
      <c r="D5" s="175"/>
      <c r="E5" s="175"/>
      <c r="F5" s="175"/>
      <c r="G5" s="176"/>
      <c r="H5" s="205"/>
    </row>
    <row r="6" spans="2:8" s="160" customFormat="1" ht="31.5">
      <c r="B6" s="184" t="s">
        <v>198</v>
      </c>
      <c r="C6" s="185"/>
      <c r="D6" s="185"/>
      <c r="E6" s="185"/>
      <c r="F6" s="185" t="s">
        <v>32</v>
      </c>
      <c r="G6" s="185"/>
      <c r="H6" s="185" t="s">
        <v>159</v>
      </c>
    </row>
    <row r="7" spans="2:8" s="160" customFormat="1" ht="31.5">
      <c r="B7" s="184"/>
      <c r="C7" s="185" t="s">
        <v>194</v>
      </c>
      <c r="D7" s="185"/>
      <c r="E7" s="185"/>
      <c r="F7" s="185" t="s">
        <v>204</v>
      </c>
      <c r="G7" s="185"/>
      <c r="H7" s="185"/>
    </row>
    <row r="8" spans="2:8" s="160" customFormat="1" ht="31.5">
      <c r="B8" s="184" t="s">
        <v>199</v>
      </c>
      <c r="C8" s="186"/>
      <c r="D8" s="186"/>
      <c r="E8" s="186"/>
      <c r="F8" s="186"/>
      <c r="G8" s="186"/>
      <c r="H8" s="185"/>
    </row>
    <row r="9" spans="2:8" s="160" customFormat="1" ht="31.5">
      <c r="B9" s="187"/>
      <c r="C9" s="185" t="s">
        <v>201</v>
      </c>
      <c r="D9" s="185"/>
      <c r="E9" s="185"/>
      <c r="F9" s="185" t="s">
        <v>205</v>
      </c>
      <c r="G9" s="185"/>
      <c r="H9" s="185"/>
    </row>
    <row r="10" spans="2:8" ht="15.75">
      <c r="B10" s="188" t="s">
        <v>206</v>
      </c>
      <c r="C10" s="189"/>
      <c r="D10" s="186"/>
      <c r="E10" s="186"/>
      <c r="F10" s="186"/>
      <c r="G10" s="190"/>
      <c r="H10" s="185"/>
    </row>
    <row r="11" spans="2:8" s="160" customFormat="1" ht="15.75">
      <c r="B11" s="188"/>
      <c r="C11" s="191" t="s">
        <v>160</v>
      </c>
      <c r="D11" s="186"/>
      <c r="E11" s="186"/>
      <c r="F11" s="186" t="s">
        <v>196</v>
      </c>
      <c r="G11" s="190" t="s">
        <v>130</v>
      </c>
      <c r="H11" s="185"/>
    </row>
    <row r="12" spans="2:8" ht="15.75">
      <c r="B12" s="188"/>
      <c r="C12" s="192"/>
      <c r="D12" s="185" t="s">
        <v>139</v>
      </c>
      <c r="E12" s="193"/>
      <c r="F12" s="185" t="s">
        <v>197</v>
      </c>
      <c r="G12" s="193" t="s">
        <v>192</v>
      </c>
      <c r="H12" s="185"/>
    </row>
    <row r="13" spans="2:8" s="160" customFormat="1" ht="15.75">
      <c r="B13" s="188"/>
      <c r="C13" s="189"/>
      <c r="D13" s="185" t="s">
        <v>140</v>
      </c>
      <c r="E13" s="193"/>
      <c r="F13" s="185" t="s">
        <v>197</v>
      </c>
      <c r="G13" s="193" t="s">
        <v>192</v>
      </c>
      <c r="H13" s="185"/>
    </row>
    <row r="14" spans="2:8" ht="47.25">
      <c r="B14" s="188"/>
      <c r="C14" s="189"/>
      <c r="D14" s="193" t="s">
        <v>185</v>
      </c>
      <c r="E14" s="193"/>
      <c r="F14" s="185" t="s">
        <v>197</v>
      </c>
      <c r="G14" s="194" t="s">
        <v>131</v>
      </c>
      <c r="H14" s="185" t="s">
        <v>136</v>
      </c>
    </row>
    <row r="15" spans="2:8" s="160" customFormat="1" ht="15.75">
      <c r="B15" s="188"/>
      <c r="C15" s="189"/>
      <c r="D15" s="185" t="s">
        <v>186</v>
      </c>
      <c r="E15" s="193"/>
      <c r="F15" s="185" t="s">
        <v>197</v>
      </c>
      <c r="G15" s="194" t="s">
        <v>133</v>
      </c>
      <c r="H15" s="185"/>
    </row>
    <row r="16" spans="2:8" ht="15.75">
      <c r="B16" s="188"/>
      <c r="C16" s="186"/>
      <c r="D16" s="193" t="s">
        <v>187</v>
      </c>
      <c r="E16" s="195"/>
      <c r="F16" s="185" t="s">
        <v>197</v>
      </c>
      <c r="G16" s="194" t="s">
        <v>132</v>
      </c>
      <c r="H16" s="185"/>
    </row>
    <row r="17" spans="2:8" ht="47.25">
      <c r="B17" s="188"/>
      <c r="C17" s="189"/>
      <c r="D17" s="195" t="s">
        <v>188</v>
      </c>
      <c r="E17" s="193"/>
      <c r="F17" s="185" t="s">
        <v>197</v>
      </c>
      <c r="G17" s="194" t="s">
        <v>135</v>
      </c>
      <c r="H17" s="196"/>
    </row>
    <row r="18" spans="2:8" ht="48.75" customHeight="1">
      <c r="B18" s="188"/>
      <c r="C18" s="186"/>
      <c r="D18" s="195" t="s">
        <v>189</v>
      </c>
      <c r="E18" s="185"/>
      <c r="F18" s="185" t="s">
        <v>197</v>
      </c>
      <c r="G18" s="194" t="s">
        <v>137</v>
      </c>
      <c r="H18" s="185"/>
    </row>
    <row r="19" spans="2:8" ht="15.75">
      <c r="B19" s="188"/>
      <c r="C19" s="186"/>
      <c r="D19" s="195" t="s">
        <v>190</v>
      </c>
      <c r="E19" s="197"/>
      <c r="F19" s="185"/>
      <c r="G19" s="194"/>
      <c r="H19" s="185"/>
    </row>
    <row r="20" spans="2:8" s="160" customFormat="1" ht="31.5">
      <c r="B20" s="188"/>
      <c r="C20" s="186"/>
      <c r="D20" s="195"/>
      <c r="E20" s="197" t="s">
        <v>178</v>
      </c>
      <c r="F20" s="185" t="s">
        <v>197</v>
      </c>
      <c r="G20" s="194" t="s">
        <v>181</v>
      </c>
      <c r="H20" s="185"/>
    </row>
    <row r="21" spans="2:8" ht="31.5">
      <c r="B21" s="188"/>
      <c r="C21" s="186"/>
      <c r="D21" s="193"/>
      <c r="E21" s="197" t="s">
        <v>179</v>
      </c>
      <c r="F21" s="185" t="s">
        <v>197</v>
      </c>
      <c r="G21" s="194" t="s">
        <v>181</v>
      </c>
      <c r="H21" s="185"/>
    </row>
    <row r="22" spans="2:8" ht="15.75">
      <c r="B22" s="188"/>
      <c r="C22" s="190"/>
      <c r="D22" s="185" t="s">
        <v>191</v>
      </c>
      <c r="E22" s="193"/>
      <c r="F22" s="185" t="s">
        <v>197</v>
      </c>
      <c r="G22" s="194" t="s">
        <v>183</v>
      </c>
      <c r="H22" s="185"/>
    </row>
    <row r="23" spans="2:8" s="160" customFormat="1" ht="15.75">
      <c r="B23" s="188"/>
      <c r="C23" s="190"/>
      <c r="D23" s="185"/>
      <c r="E23" s="193"/>
      <c r="F23" s="185"/>
      <c r="G23" s="194"/>
      <c r="H23" s="185"/>
    </row>
    <row r="24" spans="2:8" ht="15.75">
      <c r="B24" s="188"/>
      <c r="C24" s="193" t="s">
        <v>161</v>
      </c>
      <c r="D24" s="185" t="s">
        <v>184</v>
      </c>
      <c r="E24" s="185" t="s">
        <v>184</v>
      </c>
      <c r="F24" s="197"/>
      <c r="G24" s="194"/>
      <c r="H24" s="185"/>
    </row>
    <row r="25" spans="2:8" ht="15.75">
      <c r="B25" s="188"/>
      <c r="C25" s="193" t="s">
        <v>162</v>
      </c>
      <c r="D25" s="185" t="s">
        <v>184</v>
      </c>
      <c r="E25" s="185" t="s">
        <v>184</v>
      </c>
      <c r="F25" s="197"/>
      <c r="G25" s="194"/>
      <c r="H25" s="185"/>
    </row>
    <row r="26" spans="2:8" ht="15.75">
      <c r="B26" s="188"/>
      <c r="C26" s="193" t="s">
        <v>163</v>
      </c>
      <c r="D26" s="185" t="s">
        <v>184</v>
      </c>
      <c r="E26" s="185" t="s">
        <v>184</v>
      </c>
      <c r="F26" s="185"/>
      <c r="G26" s="194"/>
      <c r="H26" s="185"/>
    </row>
    <row r="27" spans="2:8" ht="15.75">
      <c r="B27" s="188"/>
      <c r="C27" s="193" t="s">
        <v>164</v>
      </c>
      <c r="D27" s="185" t="s">
        <v>184</v>
      </c>
      <c r="E27" s="185" t="s">
        <v>184</v>
      </c>
      <c r="F27" s="198"/>
      <c r="G27" s="193"/>
      <c r="H27" s="185"/>
    </row>
    <row r="28" spans="2:8" ht="15.75">
      <c r="B28" s="188"/>
      <c r="C28" s="193" t="s">
        <v>165</v>
      </c>
      <c r="D28" s="185" t="s">
        <v>184</v>
      </c>
      <c r="E28" s="185" t="s">
        <v>184</v>
      </c>
      <c r="F28" s="199"/>
      <c r="G28" s="193"/>
      <c r="H28" s="185"/>
    </row>
    <row r="29" spans="2:8" ht="15.75">
      <c r="B29" s="188"/>
      <c r="C29" s="193" t="s">
        <v>166</v>
      </c>
      <c r="D29" s="185" t="s">
        <v>184</v>
      </c>
      <c r="E29" s="185" t="s">
        <v>184</v>
      </c>
      <c r="F29" s="185"/>
      <c r="G29" s="193"/>
      <c r="H29" s="185"/>
    </row>
    <row r="30" spans="2:8" ht="15.75">
      <c r="B30" s="188"/>
      <c r="C30" s="193" t="s">
        <v>167</v>
      </c>
      <c r="D30" s="185" t="s">
        <v>184</v>
      </c>
      <c r="E30" s="185" t="s">
        <v>184</v>
      </c>
      <c r="F30" s="185"/>
      <c r="G30" s="194"/>
      <c r="H30" s="185"/>
    </row>
    <row r="31" spans="2:8" ht="15.75">
      <c r="B31" s="188"/>
      <c r="C31" s="193" t="s">
        <v>168</v>
      </c>
      <c r="D31" s="185" t="s">
        <v>184</v>
      </c>
      <c r="E31" s="185" t="s">
        <v>184</v>
      </c>
      <c r="F31" s="185"/>
      <c r="G31" s="194"/>
      <c r="H31" s="185"/>
    </row>
    <row r="32" spans="2:8" ht="15.75">
      <c r="B32" s="188"/>
      <c r="C32" s="193" t="s">
        <v>169</v>
      </c>
      <c r="D32" s="185" t="s">
        <v>184</v>
      </c>
      <c r="E32" s="185" t="s">
        <v>184</v>
      </c>
      <c r="F32" s="185"/>
      <c r="G32" s="194"/>
      <c r="H32" s="185"/>
    </row>
    <row r="33" spans="2:8" ht="15.75">
      <c r="B33" s="188"/>
      <c r="C33" s="193" t="s">
        <v>170</v>
      </c>
      <c r="D33" s="185" t="s">
        <v>184</v>
      </c>
      <c r="E33" s="185" t="s">
        <v>184</v>
      </c>
      <c r="F33" s="185"/>
      <c r="G33" s="194"/>
      <c r="H33" s="185"/>
    </row>
    <row r="34" spans="2:8" ht="15.75">
      <c r="B34" s="188"/>
      <c r="C34" s="200" t="s">
        <v>171</v>
      </c>
      <c r="D34" s="185" t="s">
        <v>184</v>
      </c>
      <c r="E34" s="185" t="s">
        <v>184</v>
      </c>
      <c r="F34" s="185"/>
      <c r="G34" s="194"/>
      <c r="H34" s="185"/>
    </row>
    <row r="35" spans="2:8" ht="47.25">
      <c r="B35" s="187"/>
      <c r="C35" s="185" t="s">
        <v>195</v>
      </c>
      <c r="D35" s="193"/>
      <c r="E35" s="193"/>
      <c r="F35" s="232" t="s">
        <v>32</v>
      </c>
      <c r="G35" s="194" t="s">
        <v>154</v>
      </c>
      <c r="H35" s="185"/>
    </row>
    <row r="36" spans="2:8" s="160" customFormat="1" ht="15.75">
      <c r="B36" s="188"/>
      <c r="C36" s="185"/>
      <c r="D36" s="193"/>
      <c r="E36" s="193"/>
      <c r="F36" s="230"/>
      <c r="G36" s="194"/>
      <c r="H36" s="185"/>
    </row>
    <row r="37" spans="2:8" ht="15.75">
      <c r="B37" s="188" t="s">
        <v>207</v>
      </c>
      <c r="C37" s="185"/>
      <c r="D37" s="193"/>
      <c r="E37" s="193"/>
      <c r="F37" s="230"/>
      <c r="G37" s="194"/>
      <c r="H37" s="185"/>
    </row>
    <row r="38" spans="2:8" s="160" customFormat="1" ht="15.75">
      <c r="B38" s="188"/>
      <c r="C38" s="201" t="s">
        <v>193</v>
      </c>
      <c r="D38" s="202"/>
      <c r="E38" s="202"/>
      <c r="F38" s="231" t="s">
        <v>301</v>
      </c>
      <c r="G38" s="203" t="s">
        <v>129</v>
      </c>
      <c r="H38" s="185" t="s">
        <v>248</v>
      </c>
    </row>
    <row r="39" spans="2:8" ht="15.75">
      <c r="B39" s="204"/>
      <c r="C39" s="201"/>
      <c r="D39" s="201"/>
      <c r="E39" s="201"/>
      <c r="F39" s="201"/>
      <c r="G39" s="201"/>
      <c r="H39" s="185"/>
    </row>
    <row r="40" spans="2:8" ht="15.75">
      <c r="B40" s="184"/>
      <c r="C40" s="193"/>
      <c r="D40" s="193"/>
      <c r="E40" s="193"/>
      <c r="F40" s="185"/>
      <c r="G40" s="194"/>
      <c r="H40" s="185"/>
    </row>
    <row r="41" spans="2:8">
      <c r="B41" s="168"/>
      <c r="E41" s="157"/>
      <c r="F41" s="168"/>
      <c r="G41" s="169"/>
      <c r="H41" s="168"/>
    </row>
    <row r="42" spans="2:8">
      <c r="B42" s="168"/>
      <c r="E42" s="157"/>
      <c r="F42" s="168"/>
      <c r="G42" s="169"/>
      <c r="H42" s="168"/>
    </row>
    <row r="43" spans="2:8">
      <c r="B43" s="168"/>
      <c r="E43" s="157"/>
      <c r="F43" s="168"/>
      <c r="G43" s="169"/>
      <c r="H43" s="168"/>
    </row>
    <row r="44" spans="2:8">
      <c r="B44" s="168"/>
      <c r="E44" s="168"/>
      <c r="F44" s="168"/>
      <c r="H44" s="168"/>
    </row>
    <row r="45" spans="2:8">
      <c r="B45" s="168"/>
      <c r="H45" s="168"/>
    </row>
    <row r="46" spans="2:8">
      <c r="B46" s="168"/>
      <c r="C46" s="168"/>
      <c r="D46" s="168"/>
      <c r="E46" s="168"/>
      <c r="F46" s="168"/>
      <c r="G46" s="155"/>
      <c r="H46" s="155"/>
    </row>
    <row r="48" spans="2:8">
      <c r="B48" s="168"/>
      <c r="C48" s="168"/>
      <c r="E48" s="168"/>
      <c r="F48" s="168"/>
      <c r="G48" s="168"/>
      <c r="H48" s="168"/>
    </row>
  </sheetData>
  <conditionalFormatting sqref="E16 C13 D22:D23 D17:D20 E19:E21 G40:G43 E40:E43 B48:C48 F27:F28 F24:F25 E44:F44 C46:G46 E39:G39 E48:G48 D12 C10:C11 G10:G11 C35:C39 G30:G38 E35:E38 G14:G26 E6:G9 B6:C9 B10:B46 C24:E34">
    <cfRule type="expression" dxfId="27" priority="10">
      <formula>B6="-"</formula>
    </cfRule>
  </conditionalFormatting>
  <conditionalFormatting sqref="D13">
    <cfRule type="expression" dxfId="26" priority="3">
      <formula>D13="-"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zoomScale="115" zoomScaleNormal="115" zoomScaleSheetLayoutView="115" workbookViewId="0">
      <pane ySplit="4" topLeftCell="A8" activePane="bottomLeft" state="frozen"/>
      <selection pane="bottomLeft" activeCell="F14" sqref="F14"/>
    </sheetView>
  </sheetViews>
  <sheetFormatPr defaultColWidth="8.85546875" defaultRowHeight="12.75" outlineLevelRow="1"/>
  <cols>
    <col min="1" max="1" width="2.7109375" style="26" customWidth="1"/>
    <col min="2" max="3" width="14.7109375" style="26" customWidth="1"/>
    <col min="4" max="4" width="25.42578125" style="26" customWidth="1"/>
    <col min="5" max="5" width="12.5703125" style="26" customWidth="1"/>
    <col min="6" max="6" width="47.7109375" style="26" customWidth="1"/>
    <col min="7" max="7" width="41" style="26" customWidth="1"/>
    <col min="8" max="8" width="10.85546875" style="26" bestFit="1" customWidth="1"/>
    <col min="9" max="16384" width="8.85546875" style="26"/>
  </cols>
  <sheetData>
    <row r="2" spans="1:9" s="22" customFormat="1" ht="30">
      <c r="B2" s="20" t="s">
        <v>34</v>
      </c>
      <c r="C2" s="20"/>
      <c r="D2" s="20"/>
      <c r="E2" s="20"/>
      <c r="F2" s="20"/>
      <c r="G2" s="20"/>
      <c r="H2" s="20"/>
      <c r="I2" s="20"/>
    </row>
    <row r="3" spans="1:9">
      <c r="A3" s="29"/>
    </row>
    <row r="4" spans="1:9" s="30" customFormat="1">
      <c r="B4" s="115" t="s">
        <v>43</v>
      </c>
      <c r="C4" s="116" t="s">
        <v>44</v>
      </c>
      <c r="D4" s="116" t="s">
        <v>45</v>
      </c>
      <c r="E4" s="116" t="s">
        <v>46</v>
      </c>
      <c r="F4" s="116" t="s">
        <v>39</v>
      </c>
      <c r="G4" s="116" t="s">
        <v>31</v>
      </c>
    </row>
    <row r="5" spans="1:9" s="31" customFormat="1" ht="25.5" hidden="1" outlineLevel="1">
      <c r="B5" s="32" t="s">
        <v>40</v>
      </c>
      <c r="C5" s="33" t="s">
        <v>41</v>
      </c>
      <c r="D5" s="34" t="s">
        <v>38</v>
      </c>
      <c r="E5" s="34" t="s">
        <v>38</v>
      </c>
      <c r="F5" s="35" t="s">
        <v>122</v>
      </c>
      <c r="G5" s="35"/>
    </row>
    <row r="6" spans="1:9" s="31" customFormat="1" ht="25.5" hidden="1" outlineLevel="1">
      <c r="B6" s="36"/>
      <c r="C6" s="33" t="s">
        <v>42</v>
      </c>
      <c r="D6" s="34" t="s">
        <v>38</v>
      </c>
      <c r="E6" s="34" t="s">
        <v>38</v>
      </c>
      <c r="F6" s="35" t="s">
        <v>121</v>
      </c>
      <c r="G6" s="35"/>
    </row>
    <row r="7" spans="1:9" ht="12" hidden="1" customHeight="1"/>
    <row r="8" spans="1:9" s="31" customFormat="1" outlineLevel="1">
      <c r="B8" s="32" t="s">
        <v>138</v>
      </c>
      <c r="C8" s="32" t="s">
        <v>139</v>
      </c>
      <c r="D8" s="34" t="s">
        <v>144</v>
      </c>
      <c r="E8" s="34"/>
      <c r="F8" s="35" t="s">
        <v>130</v>
      </c>
      <c r="G8" s="35"/>
    </row>
    <row r="9" spans="1:9" s="31" customFormat="1" outlineLevel="1">
      <c r="B9" s="37"/>
      <c r="C9" s="37"/>
      <c r="D9" s="34" t="s">
        <v>145</v>
      </c>
      <c r="E9" s="34"/>
      <c r="F9" s="38" t="s">
        <v>131</v>
      </c>
      <c r="G9" s="35"/>
    </row>
    <row r="10" spans="1:9" s="31" customFormat="1" ht="38.25" outlineLevel="1">
      <c r="B10" s="37"/>
      <c r="C10" s="37"/>
      <c r="D10" s="124" t="s">
        <v>146</v>
      </c>
      <c r="E10" s="34"/>
      <c r="F10" s="38" t="s">
        <v>133</v>
      </c>
      <c r="G10" s="35" t="s">
        <v>136</v>
      </c>
    </row>
    <row r="11" spans="1:9" s="31" customFormat="1" ht="25.5" outlineLevel="1">
      <c r="B11" s="37"/>
      <c r="C11" s="37"/>
      <c r="D11" s="124" t="s">
        <v>147</v>
      </c>
      <c r="E11" s="34" t="s">
        <v>151</v>
      </c>
      <c r="F11" s="127" t="s">
        <v>132</v>
      </c>
      <c r="G11" s="35"/>
    </row>
    <row r="12" spans="1:9" s="31" customFormat="1" ht="25.5" outlineLevel="1">
      <c r="B12" s="37"/>
      <c r="C12" s="37"/>
      <c r="D12" s="123"/>
      <c r="E12" s="34" t="s">
        <v>152</v>
      </c>
      <c r="F12" s="126"/>
      <c r="G12" s="35"/>
    </row>
    <row r="13" spans="1:9" s="31" customFormat="1" ht="25.5" outlineLevel="1">
      <c r="B13" s="37"/>
      <c r="C13" s="37"/>
      <c r="D13" s="123" t="s">
        <v>148</v>
      </c>
      <c r="E13" s="34"/>
      <c r="F13" s="38" t="s">
        <v>135</v>
      </c>
      <c r="G13" s="35"/>
    </row>
    <row r="14" spans="1:9" s="31" customFormat="1" ht="38.25" outlineLevel="1">
      <c r="B14" s="37"/>
      <c r="C14" s="37"/>
      <c r="D14" s="123" t="s">
        <v>149</v>
      </c>
      <c r="E14" s="34"/>
      <c r="F14" s="38" t="s">
        <v>137</v>
      </c>
      <c r="G14" s="35"/>
    </row>
    <row r="15" spans="1:9" s="31" customFormat="1" outlineLevel="1">
      <c r="B15" s="37"/>
      <c r="C15" s="37"/>
      <c r="D15" s="123" t="s">
        <v>155</v>
      </c>
      <c r="E15" s="34"/>
      <c r="F15" s="38"/>
      <c r="G15" s="35"/>
    </row>
    <row r="16" spans="1:9" s="31" customFormat="1" outlineLevel="1">
      <c r="B16" s="37"/>
      <c r="C16" s="32" t="s">
        <v>140</v>
      </c>
      <c r="D16" s="34" t="s">
        <v>144</v>
      </c>
      <c r="E16" s="34"/>
      <c r="F16" s="35" t="s">
        <v>130</v>
      </c>
      <c r="G16" s="35"/>
    </row>
    <row r="17" spans="2:7" s="31" customFormat="1" outlineLevel="1">
      <c r="B17" s="37"/>
      <c r="C17" s="37"/>
      <c r="D17" s="34" t="s">
        <v>145</v>
      </c>
      <c r="E17" s="34"/>
      <c r="F17" s="38" t="s">
        <v>131</v>
      </c>
      <c r="G17" s="35"/>
    </row>
    <row r="18" spans="2:7" s="31" customFormat="1" ht="38.25" outlineLevel="1">
      <c r="B18" s="37"/>
      <c r="C18" s="37"/>
      <c r="D18" s="124" t="s">
        <v>150</v>
      </c>
      <c r="E18" s="34"/>
      <c r="F18" s="38" t="s">
        <v>134</v>
      </c>
      <c r="G18" s="35" t="s">
        <v>136</v>
      </c>
    </row>
    <row r="19" spans="2:7" s="31" customFormat="1" ht="25.5" outlineLevel="1">
      <c r="B19" s="37"/>
      <c r="C19" s="37"/>
      <c r="D19" s="124" t="s">
        <v>147</v>
      </c>
      <c r="E19" s="34" t="s">
        <v>151</v>
      </c>
      <c r="F19" s="127" t="s">
        <v>132</v>
      </c>
      <c r="G19" s="35"/>
    </row>
    <row r="20" spans="2:7" s="31" customFormat="1" ht="25.5" outlineLevel="1">
      <c r="B20" s="37"/>
      <c r="C20" s="37"/>
      <c r="D20" s="36"/>
      <c r="E20" s="34" t="s">
        <v>152</v>
      </c>
      <c r="F20" s="126"/>
      <c r="G20" s="35"/>
    </row>
    <row r="21" spans="2:7" s="31" customFormat="1" ht="25.5" outlineLevel="1">
      <c r="B21" s="37"/>
      <c r="C21" s="37"/>
      <c r="D21" s="123" t="s">
        <v>148</v>
      </c>
      <c r="E21" s="34"/>
      <c r="F21" s="38" t="s">
        <v>135</v>
      </c>
      <c r="G21" s="35"/>
    </row>
    <row r="22" spans="2:7" s="31" customFormat="1" ht="38.25" outlineLevel="1">
      <c r="B22" s="37"/>
      <c r="C22" s="37"/>
      <c r="D22" s="123" t="s">
        <v>149</v>
      </c>
      <c r="E22" s="34"/>
      <c r="F22" s="38" t="s">
        <v>137</v>
      </c>
      <c r="G22" s="35"/>
    </row>
    <row r="23" spans="2:7" s="31" customFormat="1" outlineLevel="1">
      <c r="B23" s="37"/>
      <c r="C23" s="36"/>
      <c r="D23" s="123" t="s">
        <v>155</v>
      </c>
      <c r="E23" s="34"/>
      <c r="F23" s="38"/>
      <c r="G23" s="35"/>
    </row>
    <row r="24" spans="2:7" s="31" customFormat="1" outlineLevel="1">
      <c r="B24" s="37"/>
      <c r="C24" s="36" t="s">
        <v>141</v>
      </c>
      <c r="D24" s="36"/>
      <c r="E24" s="35"/>
      <c r="F24" s="38" t="s">
        <v>129</v>
      </c>
      <c r="G24" s="35"/>
    </row>
    <row r="25" spans="2:7" s="31" customFormat="1" ht="38.25" outlineLevel="1">
      <c r="B25" s="36"/>
      <c r="C25" s="36" t="s">
        <v>153</v>
      </c>
      <c r="D25" s="36"/>
      <c r="E25" s="35"/>
      <c r="F25" s="38" t="s">
        <v>154</v>
      </c>
      <c r="G25" s="35"/>
    </row>
    <row r="26" spans="2:7" ht="8.25" customHeight="1"/>
    <row r="27" spans="2:7" s="31" customFormat="1" ht="25.5" outlineLevel="1">
      <c r="B27" s="32" t="s">
        <v>142</v>
      </c>
      <c r="C27" s="33" t="s">
        <v>143</v>
      </c>
      <c r="D27" s="125"/>
      <c r="E27" s="34"/>
      <c r="F27" s="35"/>
      <c r="G27" s="35"/>
    </row>
    <row r="28" spans="2:7" s="31" customFormat="1" outlineLevel="1">
      <c r="B28" s="36"/>
      <c r="C28" s="33"/>
      <c r="D28" s="34"/>
      <c r="E28" s="34"/>
      <c r="F28" s="35"/>
      <c r="G28" s="35"/>
    </row>
  </sheetData>
  <conditionalFormatting sqref="B5:F6 B8:C21 B26:F26 B29:F2896 F8:F21 F25 B25:C25">
    <cfRule type="expression" dxfId="25" priority="13">
      <formula>B5="-"</formula>
    </cfRule>
  </conditionalFormatting>
  <conditionalFormatting sqref="D8:D15">
    <cfRule type="expression" dxfId="24" priority="14">
      <formula>D8="-"</formula>
    </cfRule>
  </conditionalFormatting>
  <conditionalFormatting sqref="E8:E21">
    <cfRule type="expression" dxfId="23" priority="12">
      <formula>E8="-"</formula>
    </cfRule>
  </conditionalFormatting>
  <conditionalFormatting sqref="D16:D17">
    <cfRule type="expression" dxfId="22" priority="11">
      <formula>D16="-"</formula>
    </cfRule>
  </conditionalFormatting>
  <conditionalFormatting sqref="B27:F28">
    <cfRule type="expression" dxfId="21" priority="10">
      <formula>B27="-"</formula>
    </cfRule>
  </conditionalFormatting>
  <conditionalFormatting sqref="D21">
    <cfRule type="expression" dxfId="20" priority="9">
      <formula>D21="-"</formula>
    </cfRule>
  </conditionalFormatting>
  <conditionalFormatting sqref="D18">
    <cfRule type="expression" dxfId="19" priority="8">
      <formula>D18="-"</formula>
    </cfRule>
  </conditionalFormatting>
  <conditionalFormatting sqref="B22:C23 B24">
    <cfRule type="expression" dxfId="18" priority="6">
      <formula>B22="-"</formula>
    </cfRule>
  </conditionalFormatting>
  <conditionalFormatting sqref="D22">
    <cfRule type="expression" dxfId="17" priority="7">
      <formula>D22="-"</formula>
    </cfRule>
  </conditionalFormatting>
  <conditionalFormatting sqref="E22:E23">
    <cfRule type="expression" dxfId="16" priority="5">
      <formula>E22="-"</formula>
    </cfRule>
  </conditionalFormatting>
  <conditionalFormatting sqref="F22:F23">
    <cfRule type="expression" dxfId="15" priority="4">
      <formula>F22="-"</formula>
    </cfRule>
  </conditionalFormatting>
  <conditionalFormatting sqref="D19">
    <cfRule type="expression" dxfId="14" priority="3">
      <formula>D19="-"</formula>
    </cfRule>
  </conditionalFormatting>
  <conditionalFormatting sqref="F24 C24">
    <cfRule type="expression" dxfId="13" priority="2">
      <formula>C24="-"</formula>
    </cfRule>
  </conditionalFormatting>
  <conditionalFormatting sqref="D23">
    <cfRule type="expression" dxfId="12" priority="1">
      <formula>D23="-"</formula>
    </cfRule>
  </conditionalFormatting>
  <pageMargins left="0" right="0" top="0" bottom="0.25" header="0" footer="0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A21"/>
  <sheetViews>
    <sheetView topLeftCell="C1" zoomScale="145" zoomScaleNormal="145" zoomScaleSheetLayoutView="100" workbookViewId="0">
      <pane ySplit="7" topLeftCell="A14" activePane="bottomLeft" state="frozen"/>
      <selection pane="bottomLeft" activeCell="U15" sqref="U15"/>
    </sheetView>
  </sheetViews>
  <sheetFormatPr defaultColWidth="8.85546875" defaultRowHeight="12.75"/>
  <cols>
    <col min="1" max="1" width="2.7109375" style="164" customWidth="1"/>
    <col min="2" max="2" width="35" style="164" customWidth="1"/>
    <col min="3" max="3" width="9.85546875" style="164" customWidth="1"/>
    <col min="4" max="4" width="44.42578125" style="164" customWidth="1"/>
    <col min="5" max="5" width="20.42578125" style="39" customWidth="1"/>
    <col min="6" max="6" width="12.5703125" style="39" customWidth="1"/>
    <col min="7" max="7" width="27.85546875" style="39" customWidth="1"/>
    <col min="8" max="8" width="12.5703125" style="40" customWidth="1"/>
    <col min="9" max="9" width="14.140625" style="40" customWidth="1"/>
    <col min="10" max="10" width="11.5703125" style="39" customWidth="1"/>
    <col min="11" max="11" width="11.5703125" style="39" bestFit="1" customWidth="1"/>
    <col min="12" max="19" width="11.5703125" style="39" hidden="1" customWidth="1"/>
    <col min="20" max="20" width="15.28515625" style="39" bestFit="1" customWidth="1"/>
    <col min="21" max="21" width="27" style="39" customWidth="1"/>
    <col min="22" max="16384" width="8.85546875" style="164"/>
  </cols>
  <sheetData>
    <row r="2" spans="1:27" s="177" customFormat="1" ht="30">
      <c r="B2" s="250" t="s">
        <v>33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178"/>
      <c r="W2" s="178"/>
      <c r="X2" s="178"/>
      <c r="Y2" s="178"/>
      <c r="Z2" s="178"/>
      <c r="AA2" s="178"/>
    </row>
    <row r="3" spans="1:27">
      <c r="A3" s="28"/>
      <c r="B3" s="41"/>
    </row>
    <row r="4" spans="1:27">
      <c r="A4" s="28"/>
      <c r="B4" s="41"/>
      <c r="H4" s="251" t="s">
        <v>126</v>
      </c>
      <c r="I4" s="252"/>
      <c r="J4" s="252"/>
      <c r="K4" s="253"/>
      <c r="L4" s="254" t="s">
        <v>127</v>
      </c>
      <c r="M4" s="254"/>
      <c r="N4" s="254"/>
      <c r="O4" s="254"/>
      <c r="P4" s="255" t="s">
        <v>125</v>
      </c>
      <c r="Q4" s="255"/>
      <c r="R4" s="255"/>
      <c r="S4" s="255"/>
    </row>
    <row r="5" spans="1:27" ht="13.5" customHeight="1">
      <c r="B5" s="256" t="s">
        <v>50</v>
      </c>
      <c r="C5" s="257"/>
      <c r="D5" s="260" t="s">
        <v>51</v>
      </c>
      <c r="E5" s="260"/>
      <c r="F5" s="247" t="s">
        <v>12</v>
      </c>
      <c r="G5" s="247" t="s">
        <v>54</v>
      </c>
      <c r="H5" s="247" t="s">
        <v>52</v>
      </c>
      <c r="I5" s="247" t="s">
        <v>53</v>
      </c>
      <c r="J5" s="247" t="s">
        <v>124</v>
      </c>
      <c r="K5" s="247" t="s">
        <v>55</v>
      </c>
      <c r="L5" s="248" t="s">
        <v>52</v>
      </c>
      <c r="M5" s="247" t="s">
        <v>53</v>
      </c>
      <c r="N5" s="247" t="s">
        <v>124</v>
      </c>
      <c r="O5" s="247" t="s">
        <v>55</v>
      </c>
      <c r="P5" s="248" t="s">
        <v>52</v>
      </c>
      <c r="Q5" s="247" t="s">
        <v>53</v>
      </c>
      <c r="R5" s="247" t="s">
        <v>124</v>
      </c>
      <c r="S5" s="247" t="s">
        <v>55</v>
      </c>
      <c r="T5" s="247" t="s">
        <v>56</v>
      </c>
      <c r="U5" s="247" t="s">
        <v>31</v>
      </c>
    </row>
    <row r="6" spans="1:27" ht="15.75" customHeight="1">
      <c r="B6" s="258"/>
      <c r="C6" s="259"/>
      <c r="D6" s="260"/>
      <c r="E6" s="260"/>
      <c r="F6" s="247"/>
      <c r="G6" s="247"/>
      <c r="H6" s="247"/>
      <c r="I6" s="247"/>
      <c r="J6" s="247"/>
      <c r="K6" s="247"/>
      <c r="L6" s="249"/>
      <c r="M6" s="247"/>
      <c r="N6" s="247"/>
      <c r="O6" s="247"/>
      <c r="P6" s="249"/>
      <c r="Q6" s="247"/>
      <c r="R6" s="247"/>
      <c r="S6" s="247"/>
      <c r="T6" s="247"/>
      <c r="U6" s="247"/>
    </row>
    <row r="7" spans="1:27">
      <c r="B7" s="42" t="s">
        <v>62</v>
      </c>
      <c r="C7" s="43" t="s">
        <v>57</v>
      </c>
      <c r="D7" s="43" t="s">
        <v>58</v>
      </c>
      <c r="E7" s="44" t="s">
        <v>59</v>
      </c>
      <c r="F7" s="44" t="s">
        <v>38</v>
      </c>
      <c r="G7" s="44" t="s">
        <v>38</v>
      </c>
      <c r="H7" s="45">
        <f>SUM(H8:H21)</f>
        <v>9</v>
      </c>
      <c r="I7" s="45">
        <f>SUM(I8:I21)</f>
        <v>9</v>
      </c>
      <c r="J7" s="44" t="s">
        <v>38</v>
      </c>
      <c r="K7" s="44" t="s">
        <v>38</v>
      </c>
      <c r="L7" s="45">
        <f>SUM(L8:L21)</f>
        <v>19</v>
      </c>
      <c r="M7" s="45">
        <f>SUM(M8:M21)</f>
        <v>10</v>
      </c>
      <c r="N7" s="44" t="s">
        <v>38</v>
      </c>
      <c r="O7" s="44" t="s">
        <v>38</v>
      </c>
      <c r="P7" s="45">
        <f>SUM(P8:P21)</f>
        <v>19</v>
      </c>
      <c r="Q7" s="45">
        <f>SUM(Q8:Q21)</f>
        <v>19</v>
      </c>
      <c r="R7" s="44" t="s">
        <v>38</v>
      </c>
      <c r="S7" s="44" t="s">
        <v>38</v>
      </c>
      <c r="T7" s="44" t="s">
        <v>38</v>
      </c>
      <c r="U7" s="46"/>
    </row>
    <row r="8" spans="1:27" s="161" customFormat="1" ht="127.5">
      <c r="B8" s="162" t="s">
        <v>200</v>
      </c>
      <c r="C8" s="163" t="s">
        <v>60</v>
      </c>
      <c r="D8" s="163" t="s">
        <v>258</v>
      </c>
      <c r="E8" s="165" t="s">
        <v>209</v>
      </c>
      <c r="F8" s="165" t="s">
        <v>47</v>
      </c>
      <c r="G8" s="179" t="s">
        <v>257</v>
      </c>
      <c r="H8" s="47">
        <v>1</v>
      </c>
      <c r="I8" s="47">
        <v>1</v>
      </c>
      <c r="J8" s="163">
        <v>45712</v>
      </c>
      <c r="K8" s="163">
        <v>45714</v>
      </c>
      <c r="L8" s="47">
        <v>1</v>
      </c>
      <c r="M8" s="47">
        <v>1</v>
      </c>
      <c r="N8" s="163">
        <v>45917</v>
      </c>
      <c r="O8" s="163">
        <v>45919</v>
      </c>
      <c r="P8" s="47">
        <v>1</v>
      </c>
      <c r="Q8" s="47">
        <v>1</v>
      </c>
      <c r="R8" s="163">
        <v>45917</v>
      </c>
      <c r="S8" s="163">
        <v>45919</v>
      </c>
      <c r="T8" s="165" t="s">
        <v>217</v>
      </c>
      <c r="U8" s="165"/>
    </row>
    <row r="9" spans="1:27" s="161" customFormat="1" ht="102">
      <c r="B9" s="162" t="s">
        <v>202</v>
      </c>
      <c r="C9" s="163" t="s">
        <v>220</v>
      </c>
      <c r="D9" s="163" t="s">
        <v>292</v>
      </c>
      <c r="E9" s="165" t="s">
        <v>209</v>
      </c>
      <c r="F9" s="165" t="s">
        <v>47</v>
      </c>
      <c r="G9" s="179" t="s">
        <v>223</v>
      </c>
      <c r="H9" s="47">
        <v>1</v>
      </c>
      <c r="I9" s="166">
        <v>1</v>
      </c>
      <c r="J9" s="163">
        <v>45741</v>
      </c>
      <c r="K9" s="163">
        <v>45741</v>
      </c>
      <c r="L9" s="166">
        <v>0</v>
      </c>
      <c r="M9" s="166">
        <v>0</v>
      </c>
      <c r="N9" s="163">
        <v>45917</v>
      </c>
      <c r="O9" s="163">
        <v>45919</v>
      </c>
      <c r="P9" s="166">
        <v>0</v>
      </c>
      <c r="Q9" s="166">
        <v>0</v>
      </c>
      <c r="R9" s="163">
        <v>45917</v>
      </c>
      <c r="S9" s="163">
        <v>45919</v>
      </c>
      <c r="T9" s="165" t="s">
        <v>217</v>
      </c>
      <c r="U9" s="167"/>
    </row>
    <row r="10" spans="1:27" s="161" customFormat="1" ht="102">
      <c r="B10" s="162" t="s">
        <v>208</v>
      </c>
      <c r="C10" s="163" t="s">
        <v>231</v>
      </c>
      <c r="D10" s="163" t="s">
        <v>240</v>
      </c>
      <c r="E10" s="165" t="s">
        <v>61</v>
      </c>
      <c r="F10" s="165" t="s">
        <v>48</v>
      </c>
      <c r="G10" s="179" t="s">
        <v>210</v>
      </c>
      <c r="H10" s="47">
        <v>1</v>
      </c>
      <c r="I10" s="166">
        <v>1</v>
      </c>
      <c r="J10" s="163">
        <v>45980</v>
      </c>
      <c r="K10" s="163">
        <v>45980</v>
      </c>
      <c r="L10" s="166">
        <v>2</v>
      </c>
      <c r="M10" s="166">
        <v>1</v>
      </c>
      <c r="N10" s="163">
        <v>45917</v>
      </c>
      <c r="O10" s="163">
        <v>45919</v>
      </c>
      <c r="P10" s="166">
        <v>2</v>
      </c>
      <c r="Q10" s="166">
        <v>2</v>
      </c>
      <c r="R10" s="163">
        <v>45917</v>
      </c>
      <c r="S10" s="163">
        <v>45919</v>
      </c>
      <c r="T10" s="165" t="s">
        <v>253</v>
      </c>
      <c r="U10" s="167"/>
    </row>
    <row r="11" spans="1:27" s="161" customFormat="1" ht="102">
      <c r="B11" s="162" t="s">
        <v>224</v>
      </c>
      <c r="C11" s="163" t="s">
        <v>232</v>
      </c>
      <c r="D11" s="163" t="s">
        <v>241</v>
      </c>
      <c r="E11" s="165" t="s">
        <v>61</v>
      </c>
      <c r="F11" s="165" t="s">
        <v>48</v>
      </c>
      <c r="G11" s="179" t="s">
        <v>211</v>
      </c>
      <c r="H11" s="47">
        <v>1</v>
      </c>
      <c r="I11" s="166">
        <v>1</v>
      </c>
      <c r="J11" s="163">
        <v>45980</v>
      </c>
      <c r="K11" s="163">
        <v>45980</v>
      </c>
      <c r="L11" s="166">
        <v>2</v>
      </c>
      <c r="M11" s="166">
        <v>1</v>
      </c>
      <c r="N11" s="163">
        <v>45917</v>
      </c>
      <c r="O11" s="163">
        <v>45919</v>
      </c>
      <c r="P11" s="166">
        <v>2</v>
      </c>
      <c r="Q11" s="166">
        <v>2</v>
      </c>
      <c r="R11" s="163">
        <v>45917</v>
      </c>
      <c r="S11" s="163">
        <v>45919</v>
      </c>
      <c r="T11" s="165" t="s">
        <v>253</v>
      </c>
      <c r="U11" s="167"/>
    </row>
    <row r="12" spans="1:27" s="161" customFormat="1" ht="102">
      <c r="B12" s="162" t="s">
        <v>225</v>
      </c>
      <c r="C12" s="163" t="s">
        <v>233</v>
      </c>
      <c r="D12" s="163" t="s">
        <v>242</v>
      </c>
      <c r="E12" s="165" t="s">
        <v>61</v>
      </c>
      <c r="F12" s="165" t="s">
        <v>48</v>
      </c>
      <c r="G12" s="179" t="s">
        <v>212</v>
      </c>
      <c r="H12" s="47">
        <v>1</v>
      </c>
      <c r="I12" s="166">
        <v>1</v>
      </c>
      <c r="J12" s="163">
        <v>45979</v>
      </c>
      <c r="K12" s="163">
        <v>46004</v>
      </c>
      <c r="L12" s="166">
        <v>2</v>
      </c>
      <c r="M12" s="166">
        <v>1</v>
      </c>
      <c r="N12" s="163">
        <v>45917</v>
      </c>
      <c r="O12" s="163">
        <v>45919</v>
      </c>
      <c r="P12" s="166">
        <v>2</v>
      </c>
      <c r="Q12" s="166">
        <v>2</v>
      </c>
      <c r="R12" s="163">
        <v>45917</v>
      </c>
      <c r="S12" s="163">
        <v>45919</v>
      </c>
      <c r="T12" s="165" t="s">
        <v>253</v>
      </c>
      <c r="U12" s="167"/>
    </row>
    <row r="13" spans="1:27" s="161" customFormat="1" ht="89.25">
      <c r="B13" s="162" t="s">
        <v>226</v>
      </c>
      <c r="C13" s="163" t="s">
        <v>234</v>
      </c>
      <c r="D13" s="163" t="s">
        <v>244</v>
      </c>
      <c r="E13" s="165" t="s">
        <v>61</v>
      </c>
      <c r="F13" s="165" t="s">
        <v>48</v>
      </c>
      <c r="G13" s="179" t="s">
        <v>213</v>
      </c>
      <c r="H13" s="47">
        <v>1</v>
      </c>
      <c r="I13" s="166">
        <v>1</v>
      </c>
      <c r="J13" s="163">
        <v>45991</v>
      </c>
      <c r="K13" s="163">
        <v>46023</v>
      </c>
      <c r="L13" s="166">
        <v>2</v>
      </c>
      <c r="M13" s="166">
        <v>1</v>
      </c>
      <c r="N13" s="163">
        <v>45917</v>
      </c>
      <c r="O13" s="163">
        <v>45919</v>
      </c>
      <c r="P13" s="166">
        <v>2</v>
      </c>
      <c r="Q13" s="166">
        <v>2</v>
      </c>
      <c r="R13" s="163">
        <v>45917</v>
      </c>
      <c r="S13" s="163">
        <v>45919</v>
      </c>
      <c r="T13" s="165" t="s">
        <v>253</v>
      </c>
      <c r="U13" s="167"/>
    </row>
    <row r="14" spans="1:27" s="161" customFormat="1" ht="89.25">
      <c r="B14" s="162" t="s">
        <v>227</v>
      </c>
      <c r="C14" s="163" t="s">
        <v>235</v>
      </c>
      <c r="D14" s="163" t="s">
        <v>243</v>
      </c>
      <c r="E14" s="165" t="s">
        <v>61</v>
      </c>
      <c r="F14" s="165" t="s">
        <v>48</v>
      </c>
      <c r="G14" s="179" t="s">
        <v>216</v>
      </c>
      <c r="H14" s="47">
        <v>1</v>
      </c>
      <c r="I14" s="166">
        <v>1</v>
      </c>
      <c r="J14" s="163">
        <v>45659</v>
      </c>
      <c r="K14" s="163">
        <v>45744</v>
      </c>
      <c r="L14" s="166">
        <v>2</v>
      </c>
      <c r="M14" s="166">
        <v>1</v>
      </c>
      <c r="N14" s="163">
        <v>45917</v>
      </c>
      <c r="O14" s="163">
        <v>45919</v>
      </c>
      <c r="P14" s="166">
        <v>2</v>
      </c>
      <c r="Q14" s="166">
        <v>2</v>
      </c>
      <c r="R14" s="163">
        <v>45917</v>
      </c>
      <c r="S14" s="163">
        <v>45919</v>
      </c>
      <c r="T14" s="165" t="s">
        <v>253</v>
      </c>
      <c r="U14" s="167"/>
    </row>
    <row r="15" spans="1:27" s="161" customFormat="1" ht="127.5">
      <c r="B15" s="162" t="s">
        <v>228</v>
      </c>
      <c r="C15" s="163" t="s">
        <v>236</v>
      </c>
      <c r="D15" s="163" t="s">
        <v>259</v>
      </c>
      <c r="E15" s="165" t="s">
        <v>61</v>
      </c>
      <c r="F15" s="165" t="s">
        <v>48</v>
      </c>
      <c r="G15" s="179" t="s">
        <v>218</v>
      </c>
      <c r="H15" s="47">
        <v>0</v>
      </c>
      <c r="I15" s="166">
        <v>0</v>
      </c>
      <c r="J15" s="207" t="s">
        <v>38</v>
      </c>
      <c r="K15" s="207" t="s">
        <v>38</v>
      </c>
      <c r="L15" s="166">
        <v>2</v>
      </c>
      <c r="M15" s="166">
        <v>1</v>
      </c>
      <c r="N15" s="163">
        <v>45917</v>
      </c>
      <c r="O15" s="163">
        <v>45919</v>
      </c>
      <c r="P15" s="166">
        <v>2</v>
      </c>
      <c r="Q15" s="166">
        <v>2</v>
      </c>
      <c r="R15" s="163">
        <v>45917</v>
      </c>
      <c r="S15" s="163">
        <v>45919</v>
      </c>
      <c r="T15" s="165" t="s">
        <v>253</v>
      </c>
      <c r="U15" s="180" t="s">
        <v>219</v>
      </c>
    </row>
    <row r="16" spans="1:27" s="161" customFormat="1" ht="165.75">
      <c r="B16" s="162" t="s">
        <v>229</v>
      </c>
      <c r="C16" s="163" t="s">
        <v>237</v>
      </c>
      <c r="D16" s="163" t="s">
        <v>251</v>
      </c>
      <c r="E16" s="165" t="s">
        <v>61</v>
      </c>
      <c r="F16" s="165" t="s">
        <v>48</v>
      </c>
      <c r="G16" s="179" t="s">
        <v>214</v>
      </c>
      <c r="H16" s="47">
        <v>1</v>
      </c>
      <c r="I16" s="166">
        <v>1</v>
      </c>
      <c r="J16" s="163">
        <v>45666</v>
      </c>
      <c r="K16" s="163">
        <v>45917</v>
      </c>
      <c r="L16" s="166">
        <v>2</v>
      </c>
      <c r="M16" s="166">
        <v>1</v>
      </c>
      <c r="N16" s="163">
        <v>45917</v>
      </c>
      <c r="O16" s="163">
        <v>45919</v>
      </c>
      <c r="P16" s="166">
        <v>2</v>
      </c>
      <c r="Q16" s="166">
        <v>2</v>
      </c>
      <c r="R16" s="163">
        <v>45917</v>
      </c>
      <c r="S16" s="163">
        <v>45919</v>
      </c>
      <c r="T16" s="165" t="s">
        <v>253</v>
      </c>
      <c r="U16" s="167"/>
    </row>
    <row r="17" spans="2:21" s="161" customFormat="1" ht="102">
      <c r="B17" s="162" t="s">
        <v>230</v>
      </c>
      <c r="C17" s="163" t="s">
        <v>238</v>
      </c>
      <c r="D17" s="163" t="s">
        <v>260</v>
      </c>
      <c r="E17" s="165" t="s">
        <v>61</v>
      </c>
      <c r="F17" s="165" t="s">
        <v>47</v>
      </c>
      <c r="G17" s="179" t="s">
        <v>218</v>
      </c>
      <c r="H17" s="47">
        <v>0</v>
      </c>
      <c r="I17" s="166">
        <v>0</v>
      </c>
      <c r="J17" s="207" t="s">
        <v>38</v>
      </c>
      <c r="K17" s="207" t="s">
        <v>38</v>
      </c>
      <c r="L17" s="166">
        <v>2</v>
      </c>
      <c r="M17" s="166">
        <v>1</v>
      </c>
      <c r="N17" s="163">
        <v>45917</v>
      </c>
      <c r="O17" s="163">
        <v>45919</v>
      </c>
      <c r="P17" s="166">
        <v>2</v>
      </c>
      <c r="Q17" s="166">
        <v>2</v>
      </c>
      <c r="R17" s="163">
        <v>45917</v>
      </c>
      <c r="S17" s="163">
        <v>45919</v>
      </c>
      <c r="T17" s="165" t="s">
        <v>253</v>
      </c>
      <c r="U17" s="180" t="s">
        <v>219</v>
      </c>
    </row>
    <row r="18" spans="2:21" s="161" customFormat="1" ht="127.5">
      <c r="B18" s="162" t="s">
        <v>203</v>
      </c>
      <c r="C18" s="163" t="s">
        <v>239</v>
      </c>
      <c r="D18" s="163" t="s">
        <v>252</v>
      </c>
      <c r="E18" s="165" t="s">
        <v>61</v>
      </c>
      <c r="F18" s="165" t="s">
        <v>48</v>
      </c>
      <c r="G18" s="179" t="s">
        <v>215</v>
      </c>
      <c r="H18" s="47">
        <v>1</v>
      </c>
      <c r="I18" s="166">
        <v>1</v>
      </c>
      <c r="J18" s="163">
        <v>45689</v>
      </c>
      <c r="K18" s="163">
        <v>45740</v>
      </c>
      <c r="L18" s="166">
        <v>2</v>
      </c>
      <c r="M18" s="166">
        <v>1</v>
      </c>
      <c r="N18" s="163">
        <v>45917</v>
      </c>
      <c r="O18" s="163">
        <v>45919</v>
      </c>
      <c r="P18" s="166">
        <v>2</v>
      </c>
      <c r="Q18" s="166">
        <v>2</v>
      </c>
      <c r="R18" s="163">
        <v>45917</v>
      </c>
      <c r="S18" s="163">
        <v>45919</v>
      </c>
      <c r="T18" s="165" t="s">
        <v>253</v>
      </c>
      <c r="U18" s="167"/>
    </row>
    <row r="19" spans="2:21" s="161" customFormat="1">
      <c r="B19" s="162"/>
      <c r="C19" s="163"/>
      <c r="D19" s="163"/>
      <c r="E19" s="165"/>
      <c r="F19" s="165"/>
      <c r="G19" s="179"/>
      <c r="H19" s="166"/>
      <c r="I19" s="166"/>
      <c r="J19" s="163"/>
      <c r="K19" s="163"/>
      <c r="L19" s="166"/>
      <c r="M19" s="166"/>
      <c r="N19" s="163"/>
      <c r="O19" s="163"/>
      <c r="P19" s="166"/>
      <c r="Q19" s="166"/>
      <c r="R19" s="163"/>
      <c r="S19" s="163"/>
      <c r="T19" s="165"/>
      <c r="U19" s="167"/>
    </row>
    <row r="20" spans="2:21" s="161" customFormat="1">
      <c r="B20" s="162"/>
      <c r="C20" s="163"/>
      <c r="D20" s="163"/>
      <c r="E20" s="165"/>
      <c r="F20" s="165"/>
      <c r="G20" s="165"/>
      <c r="H20" s="166"/>
      <c r="I20" s="166"/>
      <c r="J20" s="163"/>
      <c r="K20" s="163"/>
      <c r="L20" s="166"/>
      <c r="M20" s="166"/>
      <c r="N20" s="163"/>
      <c r="O20" s="163"/>
      <c r="P20" s="166"/>
      <c r="Q20" s="166"/>
      <c r="R20" s="163"/>
      <c r="S20" s="163"/>
      <c r="T20" s="165"/>
      <c r="U20" s="167"/>
    </row>
    <row r="21" spans="2:21" s="161" customFormat="1">
      <c r="B21" s="162"/>
      <c r="C21" s="163"/>
      <c r="D21" s="163"/>
      <c r="E21" s="165"/>
      <c r="F21" s="165"/>
      <c r="G21" s="165"/>
      <c r="H21" s="166"/>
      <c r="I21" s="166"/>
      <c r="J21" s="163"/>
      <c r="K21" s="163"/>
      <c r="L21" s="166"/>
      <c r="M21" s="166"/>
      <c r="N21" s="163"/>
      <c r="O21" s="163"/>
      <c r="P21" s="166"/>
      <c r="Q21" s="166"/>
      <c r="R21" s="163"/>
      <c r="S21" s="163"/>
      <c r="T21" s="165"/>
      <c r="U21" s="167"/>
    </row>
  </sheetData>
  <mergeCells count="22">
    <mergeCell ref="B2:U2"/>
    <mergeCell ref="H4:K4"/>
    <mergeCell ref="L4:O4"/>
    <mergeCell ref="P4:S4"/>
    <mergeCell ref="B5:C6"/>
    <mergeCell ref="D5:E6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T5:T6"/>
    <mergeCell ref="O5:O6"/>
    <mergeCell ref="P5:P6"/>
    <mergeCell ref="Q5:Q6"/>
    <mergeCell ref="R5:R6"/>
    <mergeCell ref="S5:S6"/>
  </mergeCells>
  <conditionalFormatting sqref="D8:U8 D19:U21 D9:G10 H9:H18 J10:U10 I10:I14 I9:U9 T11:T18">
    <cfRule type="expression" dxfId="11" priority="9">
      <formula>D8="-"</formula>
    </cfRule>
  </conditionalFormatting>
  <conditionalFormatting sqref="D11:G11 J11:S11 U11">
    <cfRule type="expression" dxfId="10" priority="8">
      <formula>D11="-"</formula>
    </cfRule>
  </conditionalFormatting>
  <conditionalFormatting sqref="D12:G12 J12:S12 U12">
    <cfRule type="expression" dxfId="9" priority="7">
      <formula>D12="-"</formula>
    </cfRule>
  </conditionalFormatting>
  <conditionalFormatting sqref="D13:G13 J13:S13 U13">
    <cfRule type="expression" dxfId="8" priority="6">
      <formula>D13="-"</formula>
    </cfRule>
  </conditionalFormatting>
  <conditionalFormatting sqref="D14:G14 J14:S14 U14">
    <cfRule type="expression" dxfId="7" priority="5">
      <formula>D14="-"</formula>
    </cfRule>
  </conditionalFormatting>
  <conditionalFormatting sqref="D15:G15 I15:S15 U15">
    <cfRule type="expression" dxfId="6" priority="4">
      <formula>D15="-"</formula>
    </cfRule>
  </conditionalFormatting>
  <conditionalFormatting sqref="D18:G18 I18:S18 U18">
    <cfRule type="expression" dxfId="5" priority="3">
      <formula>D18="-"</formula>
    </cfRule>
  </conditionalFormatting>
  <conditionalFormatting sqref="D17:G17 I17:S17 U17">
    <cfRule type="expression" dxfId="4" priority="2">
      <formula>D17="-"</formula>
    </cfRule>
  </conditionalFormatting>
  <conditionalFormatting sqref="D16:G16 I16:S16 U16">
    <cfRule type="expression" dxfId="3" priority="1">
      <formula>D16="-"</formula>
    </cfRule>
  </conditionalFormatting>
  <dataValidations count="2">
    <dataValidation type="list" allowBlank="1" showInputMessage="1" showErrorMessage="1" sqref="E8:E21">
      <formula1>"Scoreboard, Assertion, Scoreboard + Assertion, Waveform, Self-check TM, Compare Expected.txt vs. Actual.txt, etc."</formula1>
    </dataValidation>
    <dataValidation type="list" allowBlank="1" showInputMessage="1" showErrorMessage="1" sqref="F8:F21">
      <formula1>"High, Normal, Low"</formula1>
    </dataValidation>
  </dataValidations>
  <pageMargins left="0.7" right="0.7" top="0.75" bottom="0.75" header="0.3" footer="0.3"/>
  <pageSetup paperSize="9" scale="4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9"/>
  <sheetViews>
    <sheetView showGridLines="0" zoomScale="70" zoomScaleNormal="70" zoomScaleSheetLayoutView="115" workbookViewId="0">
      <selection activeCell="AH43" sqref="AH43"/>
    </sheetView>
  </sheetViews>
  <sheetFormatPr defaultColWidth="4.7109375" defaultRowHeight="12.75"/>
  <cols>
    <col min="1" max="1" width="2.7109375" style="54" customWidth="1"/>
    <col min="2" max="16384" width="4.7109375" style="54"/>
  </cols>
  <sheetData>
    <row r="1" spans="1:31" s="23" customFormat="1" ht="30">
      <c r="B1" s="244" t="s">
        <v>109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</row>
    <row r="2" spans="1:31">
      <c r="A2" s="55"/>
      <c r="B2" s="56"/>
      <c r="C2" s="53"/>
    </row>
    <row r="3" spans="1:31">
      <c r="A3" s="57"/>
      <c r="B3" s="58"/>
      <c r="C3" s="59"/>
      <c r="H3" s="60" t="s">
        <v>103</v>
      </c>
      <c r="I3" s="60"/>
    </row>
    <row r="4" spans="1:31">
      <c r="B4" s="61"/>
      <c r="H4" s="60"/>
      <c r="I4" s="60" t="s">
        <v>104</v>
      </c>
    </row>
    <row r="5" spans="1:31">
      <c r="B5" s="62" t="s">
        <v>105</v>
      </c>
      <c r="H5" s="60"/>
      <c r="I5" s="60" t="s">
        <v>106</v>
      </c>
    </row>
    <row r="6" spans="1:31">
      <c r="B6" s="62" t="s">
        <v>115</v>
      </c>
      <c r="H6" s="60"/>
      <c r="I6" s="60" t="s">
        <v>107</v>
      </c>
    </row>
    <row r="7" spans="1:31">
      <c r="B7" s="63"/>
    </row>
    <row r="9" spans="1:31">
      <c r="P9" s="60" t="s">
        <v>108</v>
      </c>
    </row>
    <row r="21" spans="9:39" ht="26.25">
      <c r="I21" s="182" t="s">
        <v>221</v>
      </c>
      <c r="AM21" s="182" t="s">
        <v>222</v>
      </c>
    </row>
    <row r="87" spans="1:5" s="65" customFormat="1" ht="15">
      <c r="A87" s="64"/>
      <c r="C87" s="64"/>
    </row>
    <row r="88" spans="1:5" s="65" customFormat="1" ht="28.5">
      <c r="A88" s="64"/>
      <c r="C88" s="64"/>
      <c r="E88" s="120"/>
    </row>
    <row r="89" spans="1:5" s="65" customFormat="1" ht="15">
      <c r="A89" s="64"/>
      <c r="C89" s="64"/>
    </row>
    <row r="141" spans="2:2">
      <c r="B141" s="63"/>
    </row>
    <row r="174" spans="3:3">
      <c r="C174" s="66"/>
    </row>
    <row r="175" spans="3:3">
      <c r="C175" s="67"/>
    </row>
    <row r="176" spans="3:3">
      <c r="C176" s="67"/>
    </row>
    <row r="178" spans="2:2">
      <c r="B178" s="63"/>
    </row>
    <row r="215" spans="3:3">
      <c r="C215" s="66"/>
    </row>
    <row r="216" spans="3:3">
      <c r="C216" s="67"/>
    </row>
    <row r="217" spans="3:3">
      <c r="C217" s="67"/>
    </row>
    <row r="218" spans="3:3">
      <c r="C218" s="68"/>
    </row>
    <row r="219" spans="3:3">
      <c r="C219" s="69"/>
    </row>
  </sheetData>
  <dataConsolidate/>
  <mergeCells count="1">
    <mergeCell ref="B1:AE1"/>
  </mergeCells>
  <pageMargins left="0.7" right="0.7" top="0.75" bottom="0.75" header="0.3" footer="0.3"/>
  <pageSetup paperSize="9" scale="85" orientation="landscape" r:id="rId1"/>
  <rowBreaks count="2" manualBreakCount="2">
    <brk id="37" max="32" man="1"/>
    <brk id="140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4"/>
  <sheetViews>
    <sheetView topLeftCell="B1" zoomScale="130" zoomScaleNormal="130" workbookViewId="0">
      <selection activeCell="C10" sqref="C10"/>
    </sheetView>
  </sheetViews>
  <sheetFormatPr defaultColWidth="4.7109375" defaultRowHeight="12.75"/>
  <cols>
    <col min="1" max="1" width="2.7109375" style="71" customWidth="1"/>
    <col min="2" max="2" width="22.85546875" style="71" customWidth="1"/>
    <col min="3" max="3" width="45" style="71" customWidth="1"/>
    <col min="4" max="4" width="21.28515625" style="72" customWidth="1"/>
    <col min="5" max="5" width="40.85546875" style="72" customWidth="1"/>
    <col min="6" max="6" width="15.85546875" style="71" customWidth="1"/>
    <col min="7" max="7" width="56.7109375" style="71" customWidth="1"/>
    <col min="8" max="8" width="31.85546875" style="71" customWidth="1"/>
    <col min="9" max="9" width="45" style="71" customWidth="1"/>
    <col min="10" max="16384" width="4.7109375" style="71"/>
  </cols>
  <sheetData>
    <row r="1" spans="1:8">
      <c r="A1" s="70"/>
    </row>
    <row r="2" spans="1:8" s="23" customFormat="1" ht="30">
      <c r="B2" s="250" t="s">
        <v>120</v>
      </c>
      <c r="C2" s="250"/>
      <c r="D2" s="250"/>
      <c r="E2" s="250"/>
      <c r="F2" s="250"/>
      <c r="G2" s="250"/>
      <c r="H2" s="250"/>
    </row>
    <row r="3" spans="1:8">
      <c r="A3" s="73"/>
    </row>
    <row r="5" spans="1:8" ht="14.25" customHeight="1">
      <c r="A5" s="74">
        <f>ROW()</f>
        <v>5</v>
      </c>
      <c r="B5" s="237" t="s">
        <v>119</v>
      </c>
      <c r="C5" s="209" t="s">
        <v>118</v>
      </c>
      <c r="D5" s="114" t="s">
        <v>117</v>
      </c>
      <c r="E5" s="114" t="s">
        <v>7</v>
      </c>
      <c r="F5" s="113" t="s">
        <v>113</v>
      </c>
      <c r="G5" s="113" t="s">
        <v>116</v>
      </c>
      <c r="H5" s="113" t="s">
        <v>31</v>
      </c>
    </row>
    <row r="6" spans="1:8" ht="25.5">
      <c r="B6" s="240" t="s">
        <v>50</v>
      </c>
      <c r="C6" s="236" t="s">
        <v>247</v>
      </c>
      <c r="D6" s="75" t="s">
        <v>246</v>
      </c>
      <c r="E6" s="75" t="s">
        <v>255</v>
      </c>
      <c r="F6" s="52" t="s">
        <v>245</v>
      </c>
      <c r="G6" s="119" t="s">
        <v>299</v>
      </c>
      <c r="H6" s="52"/>
    </row>
    <row r="7" spans="1:8" ht="25.5">
      <c r="B7" s="238" t="s">
        <v>302</v>
      </c>
      <c r="C7" s="236" t="s">
        <v>250</v>
      </c>
      <c r="D7" s="75" t="s">
        <v>246</v>
      </c>
      <c r="E7" s="75" t="s">
        <v>256</v>
      </c>
      <c r="F7" s="52" t="s">
        <v>249</v>
      </c>
      <c r="G7" s="119" t="s">
        <v>298</v>
      </c>
      <c r="H7" s="52"/>
    </row>
    <row r="8" spans="1:8">
      <c r="B8" s="233"/>
      <c r="C8" s="181"/>
      <c r="D8" s="210"/>
      <c r="E8" s="210"/>
      <c r="F8" s="211"/>
      <c r="G8" s="212"/>
      <c r="H8" s="211"/>
    </row>
    <row r="9" spans="1:8">
      <c r="B9" s="233"/>
      <c r="C9" s="181"/>
      <c r="D9" s="210"/>
      <c r="E9" s="210"/>
      <c r="F9" s="211"/>
      <c r="G9" s="212"/>
      <c r="H9" s="211"/>
    </row>
    <row r="10" spans="1:8">
      <c r="B10" s="233"/>
      <c r="C10" s="181"/>
      <c r="D10" s="210"/>
      <c r="E10" s="210"/>
      <c r="F10" s="211"/>
      <c r="G10" s="211"/>
      <c r="H10" s="211"/>
    </row>
    <row r="11" spans="1:8">
      <c r="B11" s="233"/>
      <c r="C11" s="181"/>
      <c r="D11" s="210"/>
      <c r="E11" s="210"/>
      <c r="F11" s="211"/>
      <c r="G11" s="212"/>
      <c r="H11" s="211"/>
    </row>
    <row r="12" spans="1:8">
      <c r="B12" s="233"/>
      <c r="C12" s="181"/>
      <c r="D12" s="210"/>
      <c r="E12" s="210"/>
      <c r="F12" s="211"/>
      <c r="G12" s="212"/>
      <c r="H12" s="211"/>
    </row>
    <row r="13" spans="1:8">
      <c r="B13" s="234"/>
      <c r="C13" s="181"/>
      <c r="D13" s="210"/>
      <c r="E13" s="210"/>
      <c r="F13" s="211"/>
      <c r="G13" s="212"/>
      <c r="H13" s="211"/>
    </row>
    <row r="14" spans="1:8">
      <c r="B14" s="234"/>
      <c r="C14" s="181"/>
      <c r="D14" s="210"/>
      <c r="E14" s="210"/>
      <c r="F14" s="211"/>
      <c r="G14" s="212"/>
      <c r="H14" s="211"/>
    </row>
    <row r="15" spans="1:8">
      <c r="B15" s="234"/>
      <c r="C15" s="181"/>
      <c r="D15" s="210"/>
      <c r="E15" s="210"/>
      <c r="F15" s="211"/>
      <c r="G15" s="212"/>
      <c r="H15" s="211"/>
    </row>
    <row r="16" spans="1:8">
      <c r="B16" s="234"/>
      <c r="C16" s="181"/>
      <c r="D16" s="210"/>
      <c r="E16" s="210"/>
      <c r="F16" s="211"/>
      <c r="G16" s="212"/>
      <c r="H16" s="211"/>
    </row>
    <row r="17" spans="2:9">
      <c r="B17" s="234"/>
      <c r="C17" s="181"/>
      <c r="D17" s="210"/>
      <c r="E17" s="210"/>
      <c r="F17" s="211"/>
      <c r="G17" s="212"/>
      <c r="H17" s="211"/>
    </row>
    <row r="18" spans="2:9">
      <c r="B18" s="234"/>
      <c r="C18" s="181"/>
      <c r="D18" s="210"/>
      <c r="E18" s="210"/>
      <c r="F18" s="211"/>
      <c r="G18" s="212"/>
      <c r="H18" s="211"/>
    </row>
    <row r="19" spans="2:9">
      <c r="B19" s="234"/>
      <c r="C19" s="211"/>
      <c r="D19" s="210"/>
      <c r="E19" s="210"/>
      <c r="F19" s="211"/>
      <c r="G19" s="211"/>
      <c r="H19" s="211"/>
    </row>
    <row r="20" spans="2:9">
      <c r="C20" s="210"/>
      <c r="D20" s="210"/>
      <c r="E20" s="211"/>
      <c r="F20" s="211"/>
      <c r="G20" s="211"/>
      <c r="H20" s="211"/>
    </row>
    <row r="21" spans="2:9" ht="16.5">
      <c r="B21" s="235"/>
      <c r="C21" s="213"/>
      <c r="D21" s="214"/>
      <c r="E21" s="214"/>
      <c r="F21" s="214"/>
      <c r="G21" s="208"/>
      <c r="H21" s="215"/>
      <c r="I21" s="208"/>
    </row>
    <row r="22" spans="2:9" ht="16.5">
      <c r="B22" s="235"/>
      <c r="C22" s="213"/>
      <c r="D22" s="214"/>
      <c r="E22" s="216"/>
      <c r="F22" s="214"/>
      <c r="G22" s="208"/>
      <c r="H22" s="208"/>
      <c r="I22" s="208"/>
    </row>
    <row r="23" spans="2:9" ht="16.5">
      <c r="B23" s="235"/>
      <c r="C23" s="213"/>
      <c r="D23" s="214"/>
      <c r="E23" s="216"/>
      <c r="F23" s="214"/>
      <c r="G23" s="208"/>
      <c r="H23" s="208"/>
      <c r="I23" s="208"/>
    </row>
    <row r="24" spans="2:9">
      <c r="C24" s="72"/>
      <c r="E24" s="71"/>
    </row>
    <row r="25" spans="2:9">
      <c r="C25" s="72"/>
      <c r="E25" s="71"/>
    </row>
    <row r="26" spans="2:9">
      <c r="C26" s="72"/>
      <c r="E26" s="71"/>
    </row>
    <row r="27" spans="2:9">
      <c r="C27" s="72"/>
      <c r="E27" s="71"/>
    </row>
    <row r="28" spans="2:9">
      <c r="C28" s="72"/>
      <c r="E28" s="71"/>
    </row>
    <row r="29" spans="2:9">
      <c r="C29" s="72"/>
      <c r="E29" s="71"/>
    </row>
    <row r="30" spans="2:9">
      <c r="C30" s="72"/>
      <c r="E30" s="71"/>
    </row>
    <row r="31" spans="2:9">
      <c r="C31" s="72"/>
      <c r="E31" s="71"/>
    </row>
    <row r="32" spans="2:9">
      <c r="C32" s="72"/>
      <c r="E32" s="71"/>
    </row>
    <row r="33" spans="3:5">
      <c r="C33" s="72"/>
      <c r="E33" s="71"/>
    </row>
    <row r="34" spans="3:5">
      <c r="C34" s="72"/>
      <c r="E34" s="71"/>
    </row>
    <row r="35" spans="3:5">
      <c r="C35" s="72"/>
      <c r="E35" s="71"/>
    </row>
    <row r="36" spans="3:5">
      <c r="C36" s="72"/>
      <c r="E36" s="71"/>
    </row>
    <row r="37" spans="3:5">
      <c r="C37" s="72"/>
      <c r="E37" s="71"/>
    </row>
    <row r="38" spans="3:5">
      <c r="C38" s="72"/>
      <c r="E38" s="71"/>
    </row>
    <row r="39" spans="3:5">
      <c r="C39" s="72"/>
      <c r="E39" s="71"/>
    </row>
    <row r="40" spans="3:5">
      <c r="C40" s="72"/>
      <c r="E40" s="71"/>
    </row>
    <row r="41" spans="3:5">
      <c r="C41" s="72"/>
      <c r="E41" s="71"/>
    </row>
    <row r="42" spans="3:5">
      <c r="C42" s="72"/>
      <c r="E42" s="71"/>
    </row>
    <row r="43" spans="3:5">
      <c r="C43" s="72"/>
      <c r="E43" s="71"/>
    </row>
    <row r="44" spans="3:5">
      <c r="C44" s="72"/>
      <c r="E44" s="71"/>
    </row>
    <row r="45" spans="3:5">
      <c r="C45" s="72"/>
      <c r="E45" s="71"/>
    </row>
    <row r="46" spans="3:5">
      <c r="C46" s="72"/>
      <c r="E46" s="71"/>
    </row>
    <row r="47" spans="3:5">
      <c r="C47" s="72"/>
      <c r="E47" s="71"/>
    </row>
    <row r="48" spans="3:5">
      <c r="C48" s="72"/>
      <c r="E48" s="71"/>
    </row>
    <row r="49" spans="3:5">
      <c r="C49" s="72"/>
      <c r="E49" s="71"/>
    </row>
    <row r="50" spans="3:5">
      <c r="C50" s="72"/>
      <c r="E50" s="71"/>
    </row>
    <row r="51" spans="3:5">
      <c r="C51" s="72"/>
      <c r="E51" s="71"/>
    </row>
    <row r="52" spans="3:5">
      <c r="C52" s="72"/>
      <c r="E52" s="71"/>
    </row>
    <row r="53" spans="3:5">
      <c r="C53" s="72"/>
      <c r="E53" s="71"/>
    </row>
    <row r="54" spans="3:5">
      <c r="C54" s="72"/>
      <c r="E54" s="71"/>
    </row>
    <row r="55" spans="3:5">
      <c r="C55" s="72"/>
      <c r="E55" s="71"/>
    </row>
    <row r="56" spans="3:5">
      <c r="C56" s="72"/>
      <c r="E56" s="71"/>
    </row>
    <row r="57" spans="3:5">
      <c r="C57" s="72"/>
      <c r="E57" s="71"/>
    </row>
    <row r="58" spans="3:5">
      <c r="C58" s="72"/>
      <c r="E58" s="71"/>
    </row>
    <row r="59" spans="3:5">
      <c r="C59" s="72"/>
      <c r="E59" s="71"/>
    </row>
    <row r="60" spans="3:5">
      <c r="C60" s="72"/>
      <c r="E60" s="71"/>
    </row>
    <row r="61" spans="3:5">
      <c r="C61" s="72"/>
      <c r="E61" s="71"/>
    </row>
    <row r="62" spans="3:5">
      <c r="C62" s="72"/>
      <c r="E62" s="71"/>
    </row>
    <row r="63" spans="3:5">
      <c r="C63" s="72"/>
      <c r="E63" s="71"/>
    </row>
    <row r="64" spans="3:5">
      <c r="C64" s="72"/>
      <c r="E64" s="71"/>
    </row>
    <row r="65" spans="3:5">
      <c r="C65" s="72"/>
      <c r="E65" s="71"/>
    </row>
    <row r="66" spans="3:5">
      <c r="C66" s="72"/>
      <c r="E66" s="71"/>
    </row>
    <row r="67" spans="3:5">
      <c r="C67" s="72"/>
      <c r="E67" s="71"/>
    </row>
    <row r="68" spans="3:5">
      <c r="C68" s="72"/>
      <c r="E68" s="71"/>
    </row>
    <row r="69" spans="3:5">
      <c r="C69" s="72"/>
      <c r="E69" s="71"/>
    </row>
    <row r="70" spans="3:5">
      <c r="C70" s="72"/>
      <c r="E70" s="71"/>
    </row>
    <row r="71" spans="3:5">
      <c r="C71" s="72"/>
      <c r="E71" s="71"/>
    </row>
    <row r="72" spans="3:5">
      <c r="C72" s="72"/>
      <c r="E72" s="71"/>
    </row>
    <row r="73" spans="3:5">
      <c r="C73" s="72"/>
      <c r="E73" s="71"/>
    </row>
    <row r="74" spans="3:5">
      <c r="C74" s="72"/>
      <c r="E74" s="71"/>
    </row>
  </sheetData>
  <mergeCells count="1">
    <mergeCell ref="B2:H2"/>
  </mergeCells>
  <dataValidations count="2">
    <dataValidation type="list" allowBlank="1" showInputMessage="1" showErrorMessage="1" sqref="D6:D18 D21:D23">
      <formula1>"Initial value,Connection,pusle,raise,fell,value"</formula1>
    </dataValidation>
    <dataValidation type="list" allowBlank="1" showInputMessage="1" showErrorMessage="1" sqref="F21:F23">
      <formula1>"Assert, Cover, Assume"</formula1>
    </dataValidation>
  </dataValidations>
  <pageMargins left="0.7" right="0.7" top="0.75" bottom="0.75" header="0.3" footer="0.3"/>
  <pageSetup paperSize="9" scale="6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5"/>
  <sheetViews>
    <sheetView topLeftCell="A57" zoomScale="85" zoomScaleNormal="85" workbookViewId="0">
      <selection activeCell="H78" sqref="H78"/>
    </sheetView>
  </sheetViews>
  <sheetFormatPr defaultRowHeight="15"/>
  <cols>
    <col min="2" max="2" width="20.5703125" customWidth="1"/>
    <col min="3" max="3" width="72.28515625" customWidth="1"/>
  </cols>
  <sheetData>
    <row r="2" spans="1:6" ht="26.25">
      <c r="A2" s="217" t="s">
        <v>261</v>
      </c>
      <c r="B2" s="218"/>
      <c r="C2" s="228"/>
      <c r="D2" s="160"/>
      <c r="E2" s="160"/>
      <c r="F2" s="160"/>
    </row>
    <row r="3" spans="1:6">
      <c r="A3" s="160"/>
      <c r="B3" s="160"/>
      <c r="C3" s="160"/>
      <c r="D3" s="160"/>
      <c r="E3" s="160"/>
      <c r="F3" s="160"/>
    </row>
    <row r="4" spans="1:6" ht="18.75">
      <c r="A4" s="160"/>
      <c r="B4" s="219" t="s">
        <v>257</v>
      </c>
      <c r="C4" s="219"/>
      <c r="D4" s="160"/>
      <c r="E4" s="160"/>
      <c r="F4" s="160"/>
    </row>
    <row r="5" spans="1:6" ht="18.75">
      <c r="A5" s="160"/>
      <c r="B5" s="219" t="s">
        <v>288</v>
      </c>
      <c r="C5" s="225"/>
      <c r="D5" s="160"/>
      <c r="E5" s="160"/>
      <c r="F5" s="160"/>
    </row>
    <row r="6" spans="1:6">
      <c r="A6" s="160"/>
      <c r="B6" s="160"/>
      <c r="C6" s="160"/>
      <c r="D6" s="160"/>
      <c r="E6" s="160"/>
      <c r="F6" s="160"/>
    </row>
    <row r="7" spans="1:6">
      <c r="A7" s="160"/>
      <c r="B7" s="160"/>
      <c r="C7" s="160"/>
      <c r="D7" s="160"/>
      <c r="E7" s="160"/>
      <c r="F7" s="160"/>
    </row>
    <row r="8" spans="1:6" ht="26.25">
      <c r="A8" s="217" t="s">
        <v>262</v>
      </c>
      <c r="B8" s="218"/>
      <c r="C8" s="239"/>
      <c r="D8" s="160"/>
      <c r="E8" s="160"/>
      <c r="F8" s="160"/>
    </row>
    <row r="9" spans="1:6" ht="18.75">
      <c r="A9" s="160"/>
      <c r="B9" s="219" t="s">
        <v>287</v>
      </c>
      <c r="C9" s="219"/>
      <c r="D9" s="219"/>
      <c r="E9" s="160"/>
      <c r="F9" s="160"/>
    </row>
    <row r="10" spans="1:6">
      <c r="A10" s="160"/>
      <c r="B10" s="160"/>
      <c r="C10" s="160"/>
      <c r="D10" s="160"/>
      <c r="E10" s="160"/>
      <c r="F10" s="160"/>
    </row>
    <row r="11" spans="1:6">
      <c r="A11" s="160"/>
      <c r="B11" s="160"/>
      <c r="C11" s="160"/>
      <c r="D11" s="160"/>
      <c r="E11" s="160"/>
      <c r="F11" s="160"/>
    </row>
    <row r="12" spans="1:6">
      <c r="A12" s="160"/>
      <c r="B12" s="160"/>
      <c r="C12" s="160"/>
      <c r="D12" s="160"/>
      <c r="E12" s="160"/>
      <c r="F12" s="160"/>
    </row>
    <row r="13" spans="1:6" ht="26.25">
      <c r="A13" s="217" t="s">
        <v>263</v>
      </c>
      <c r="B13" s="218"/>
      <c r="C13" s="227"/>
      <c r="D13" s="160"/>
      <c r="E13" s="160"/>
      <c r="F13" s="160"/>
    </row>
    <row r="15" spans="1:6" ht="21">
      <c r="B15" s="220" t="s">
        <v>264</v>
      </c>
    </row>
    <row r="16" spans="1:6" ht="41.25" customHeight="1">
      <c r="B16" s="219"/>
      <c r="C16" s="221" t="s">
        <v>265</v>
      </c>
    </row>
    <row r="17" spans="2:3" ht="21">
      <c r="B17" s="222" t="s">
        <v>266</v>
      </c>
    </row>
    <row r="18" spans="2:3" ht="18.75">
      <c r="C18" s="223" t="s">
        <v>267</v>
      </c>
    </row>
    <row r="19" spans="2:3" ht="37.5">
      <c r="C19" s="224" t="s">
        <v>269</v>
      </c>
    </row>
    <row r="20" spans="2:3" ht="37.5">
      <c r="C20" s="224" t="s">
        <v>270</v>
      </c>
    </row>
    <row r="21" spans="2:3" ht="18.75">
      <c r="C21" s="219" t="s">
        <v>268</v>
      </c>
    </row>
    <row r="22" spans="2:3" s="160" customFormat="1" ht="18.75">
      <c r="C22" s="219" t="s">
        <v>300</v>
      </c>
    </row>
    <row r="23" spans="2:3" ht="18.75">
      <c r="C23" s="224" t="s">
        <v>274</v>
      </c>
    </row>
    <row r="24" spans="2:3" ht="18.75">
      <c r="C24" s="224" t="s">
        <v>271</v>
      </c>
    </row>
    <row r="25" spans="2:3" ht="18.75">
      <c r="C25" s="219" t="s">
        <v>272</v>
      </c>
    </row>
    <row r="26" spans="2:3" ht="37.5">
      <c r="C26" s="224" t="s">
        <v>273</v>
      </c>
    </row>
    <row r="27" spans="2:3" ht="18.75">
      <c r="C27" s="219" t="s">
        <v>275</v>
      </c>
    </row>
    <row r="28" spans="2:3" ht="18.75">
      <c r="C28" s="224" t="s">
        <v>276</v>
      </c>
    </row>
    <row r="29" spans="2:3" ht="32.25" customHeight="1">
      <c r="C29" s="224" t="s">
        <v>277</v>
      </c>
    </row>
    <row r="30" spans="2:3" ht="18.75">
      <c r="C30" s="219" t="s">
        <v>278</v>
      </c>
    </row>
    <row r="31" spans="2:3" ht="37.5">
      <c r="C31" s="224" t="s">
        <v>279</v>
      </c>
    </row>
    <row r="32" spans="2:3" ht="18.75">
      <c r="C32" s="219" t="s">
        <v>280</v>
      </c>
    </row>
    <row r="33" spans="1:3" ht="37.5">
      <c r="C33" s="224" t="s">
        <v>285</v>
      </c>
    </row>
    <row r="34" spans="1:3" ht="37.5">
      <c r="C34" s="224" t="s">
        <v>281</v>
      </c>
    </row>
    <row r="35" spans="1:3" ht="18.75">
      <c r="C35" s="219" t="s">
        <v>282</v>
      </c>
    </row>
    <row r="36" spans="1:3" ht="37.5">
      <c r="C36" s="224" t="s">
        <v>283</v>
      </c>
    </row>
    <row r="37" spans="1:3" ht="18.75">
      <c r="C37" s="219" t="s">
        <v>284</v>
      </c>
    </row>
    <row r="38" spans="1:3" ht="37.5">
      <c r="C38" s="224" t="s">
        <v>286</v>
      </c>
    </row>
    <row r="39" spans="1:3" ht="18.75">
      <c r="C39" s="219" t="s">
        <v>289</v>
      </c>
    </row>
    <row r="40" spans="1:3" ht="18.75">
      <c r="C40" s="219"/>
    </row>
    <row r="41" spans="1:3" ht="18.75">
      <c r="C41" s="219"/>
    </row>
    <row r="42" spans="1:3" ht="26.25">
      <c r="A42" s="217" t="s">
        <v>290</v>
      </c>
      <c r="B42" s="218"/>
      <c r="C42" s="219"/>
    </row>
    <row r="43" spans="1:3" ht="18.75">
      <c r="C43" s="219"/>
    </row>
    <row r="44" spans="1:3" ht="18.75">
      <c r="C44" s="219"/>
    </row>
    <row r="45" spans="1:3" ht="18.75">
      <c r="C45" s="219"/>
    </row>
    <row r="75" spans="5:5">
      <c r="E75" t="s">
        <v>303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13" zoomScaleNormal="100" workbookViewId="0">
      <selection activeCell="G20" sqref="G20"/>
    </sheetView>
  </sheetViews>
  <sheetFormatPr defaultRowHeight="15"/>
  <cols>
    <col min="2" max="2" width="24.85546875" customWidth="1"/>
    <col min="3" max="3" width="71.140625" customWidth="1"/>
  </cols>
  <sheetData>
    <row r="1" spans="1:6">
      <c r="A1" s="160"/>
      <c r="B1" s="160"/>
      <c r="C1" s="160"/>
      <c r="D1" s="160"/>
      <c r="E1" s="160"/>
      <c r="F1" s="160"/>
    </row>
    <row r="2" spans="1:6" ht="26.25">
      <c r="A2" s="217" t="s">
        <v>261</v>
      </c>
      <c r="B2" s="218"/>
      <c r="C2" s="228"/>
      <c r="D2" s="160"/>
      <c r="E2" s="160"/>
      <c r="F2" s="160"/>
    </row>
    <row r="3" spans="1:6">
      <c r="A3" s="160"/>
      <c r="B3" s="160"/>
      <c r="C3" s="160"/>
      <c r="D3" s="160"/>
      <c r="E3" s="160"/>
      <c r="F3" s="160"/>
    </row>
    <row r="4" spans="1:6" ht="18.75">
      <c r="A4" s="160"/>
      <c r="B4" s="219" t="s">
        <v>223</v>
      </c>
      <c r="C4" s="219"/>
      <c r="D4" s="160"/>
      <c r="E4" s="160"/>
      <c r="F4" s="160"/>
    </row>
    <row r="5" spans="1:6" ht="18.75">
      <c r="A5" s="160"/>
      <c r="B5" s="219" t="s">
        <v>291</v>
      </c>
      <c r="C5" s="225"/>
      <c r="D5" s="160"/>
      <c r="E5" s="160"/>
      <c r="F5" s="160"/>
    </row>
    <row r="6" spans="1:6">
      <c r="A6" s="160"/>
      <c r="B6" s="160"/>
      <c r="C6" s="160"/>
      <c r="D6" s="160"/>
      <c r="E6" s="160"/>
      <c r="F6" s="160"/>
    </row>
    <row r="7" spans="1:6">
      <c r="A7" s="160"/>
      <c r="B7" s="160"/>
      <c r="C7" s="160"/>
      <c r="D7" s="160"/>
      <c r="E7" s="160"/>
      <c r="F7" s="160"/>
    </row>
    <row r="8" spans="1:6" ht="26.25">
      <c r="A8" s="217" t="s">
        <v>262</v>
      </c>
      <c r="B8" s="218"/>
      <c r="C8" s="226"/>
      <c r="D8" s="160"/>
      <c r="E8" s="160"/>
      <c r="F8" s="160"/>
    </row>
    <row r="9" spans="1:6" ht="18.75">
      <c r="A9" s="160"/>
      <c r="B9" s="219" t="s">
        <v>293</v>
      </c>
      <c r="C9" s="219"/>
      <c r="D9" s="219"/>
      <c r="E9" s="160"/>
      <c r="F9" s="160"/>
    </row>
    <row r="10" spans="1:6">
      <c r="A10" s="160"/>
      <c r="B10" s="160"/>
      <c r="C10" s="160"/>
      <c r="D10" s="160"/>
      <c r="E10" s="160"/>
      <c r="F10" s="160"/>
    </row>
    <row r="11" spans="1:6">
      <c r="A11" s="160"/>
      <c r="B11" s="160"/>
      <c r="C11" s="160"/>
      <c r="D11" s="160"/>
      <c r="E11" s="160"/>
      <c r="F11" s="160"/>
    </row>
    <row r="12" spans="1:6">
      <c r="A12" s="160"/>
      <c r="B12" s="160"/>
      <c r="C12" s="160"/>
      <c r="D12" s="160"/>
      <c r="E12" s="160"/>
      <c r="F12" s="160"/>
    </row>
    <row r="13" spans="1:6" ht="26.25">
      <c r="A13" s="217" t="s">
        <v>263</v>
      </c>
      <c r="B13" s="218"/>
      <c r="C13" s="227"/>
      <c r="D13" s="160"/>
      <c r="E13" s="160"/>
      <c r="F13" s="160"/>
    </row>
    <row r="14" spans="1:6">
      <c r="A14" s="160"/>
      <c r="B14" s="160"/>
      <c r="C14" s="160"/>
      <c r="D14" s="160"/>
      <c r="E14" s="160"/>
      <c r="F14" s="160"/>
    </row>
    <row r="15" spans="1:6" ht="21">
      <c r="A15" s="160"/>
      <c r="B15" s="220" t="s">
        <v>264</v>
      </c>
      <c r="C15" s="160"/>
      <c r="D15" s="160"/>
      <c r="E15" s="160"/>
      <c r="F15" s="160"/>
    </row>
    <row r="16" spans="1:6" ht="38.25" customHeight="1">
      <c r="A16" s="160"/>
      <c r="B16" s="219"/>
      <c r="C16" s="229" t="s">
        <v>294</v>
      </c>
      <c r="D16" s="160"/>
      <c r="E16" s="160"/>
      <c r="F16" s="160"/>
    </row>
    <row r="17" spans="1:6" ht="21">
      <c r="A17" s="160"/>
      <c r="B17" s="222" t="s">
        <v>266</v>
      </c>
      <c r="C17" s="160"/>
      <c r="D17" s="160"/>
      <c r="E17" s="160"/>
      <c r="F17" s="160"/>
    </row>
    <row r="18" spans="1:6" ht="18.75">
      <c r="A18" s="160"/>
      <c r="B18" s="160"/>
      <c r="C18" s="223" t="s">
        <v>267</v>
      </c>
      <c r="D18" s="160"/>
      <c r="E18" s="160"/>
      <c r="F18" s="160"/>
    </row>
    <row r="19" spans="1:6" ht="37.5">
      <c r="A19" s="160"/>
      <c r="B19" s="160"/>
      <c r="C19" s="224" t="s">
        <v>269</v>
      </c>
      <c r="D19" s="160"/>
      <c r="E19" s="160"/>
      <c r="F19" s="160"/>
    </row>
    <row r="20" spans="1:6" ht="37.5">
      <c r="A20" s="160"/>
      <c r="B20" s="160"/>
      <c r="C20" s="224" t="s">
        <v>295</v>
      </c>
      <c r="D20" s="160"/>
      <c r="E20" s="160"/>
      <c r="F20" s="160"/>
    </row>
    <row r="21" spans="1:6" ht="18.75">
      <c r="A21" s="160"/>
      <c r="B21" s="160"/>
      <c r="C21" s="219" t="s">
        <v>268</v>
      </c>
      <c r="D21" s="160"/>
      <c r="E21" s="160"/>
      <c r="F21" s="160"/>
    </row>
    <row r="22" spans="1:6" ht="18.75">
      <c r="A22" s="160"/>
      <c r="B22" s="160"/>
      <c r="C22" s="224" t="s">
        <v>296</v>
      </c>
      <c r="D22" s="160"/>
      <c r="E22" s="160"/>
      <c r="F22" s="160"/>
    </row>
    <row r="23" spans="1:6" ht="18.75">
      <c r="A23" s="160"/>
      <c r="B23" s="160"/>
      <c r="C23" s="219" t="s">
        <v>297</v>
      </c>
      <c r="D23" s="160"/>
      <c r="E23" s="160"/>
      <c r="F23" s="160"/>
    </row>
    <row r="24" spans="1:6" ht="18.75">
      <c r="A24" s="160"/>
      <c r="B24" s="160"/>
      <c r="C24" s="219"/>
      <c r="D24" s="160"/>
      <c r="E24" s="160"/>
      <c r="F24" s="160"/>
    </row>
    <row r="25" spans="1:6" ht="18.75">
      <c r="A25" s="160"/>
      <c r="B25" s="160"/>
      <c r="C25" s="224"/>
      <c r="D25" s="160"/>
      <c r="E25" s="160"/>
      <c r="F25" s="160"/>
    </row>
    <row r="26" spans="1:6" ht="18.75">
      <c r="A26" s="160"/>
      <c r="B26" s="160"/>
      <c r="C26" s="219"/>
      <c r="D26" s="160"/>
      <c r="E26" s="160"/>
      <c r="F26" s="160"/>
    </row>
    <row r="27" spans="1:6" ht="18.75">
      <c r="A27" s="160"/>
      <c r="B27" s="160"/>
      <c r="C27" s="224"/>
      <c r="D27" s="160"/>
      <c r="E27" s="160"/>
      <c r="F27" s="160"/>
    </row>
    <row r="28" spans="1:6" ht="18.75">
      <c r="A28" s="160"/>
      <c r="B28" s="160"/>
      <c r="C28" s="224"/>
      <c r="D28" s="160"/>
      <c r="E28" s="160"/>
      <c r="F28" s="160"/>
    </row>
    <row r="29" spans="1:6" ht="18.75">
      <c r="A29" s="160"/>
      <c r="B29" s="160"/>
      <c r="C29" s="219"/>
      <c r="D29" s="160"/>
      <c r="E29" s="160"/>
      <c r="F29" s="160"/>
    </row>
    <row r="30" spans="1:6" ht="18.75">
      <c r="A30" s="160"/>
      <c r="B30" s="160"/>
      <c r="C30" s="224"/>
      <c r="D30" s="160"/>
      <c r="E30" s="160"/>
      <c r="F30" s="160"/>
    </row>
    <row r="31" spans="1:6" ht="18.75">
      <c r="A31" s="160"/>
      <c r="B31" s="160"/>
      <c r="C31" s="219"/>
      <c r="D31" s="160"/>
      <c r="E31" s="160"/>
      <c r="F31" s="160"/>
    </row>
    <row r="32" spans="1:6" ht="18.75">
      <c r="A32" s="160"/>
      <c r="B32" s="160"/>
      <c r="C32" s="224"/>
      <c r="D32" s="160"/>
      <c r="E32" s="160"/>
      <c r="F32" s="160"/>
    </row>
    <row r="33" spans="1:6" ht="18.75">
      <c r="A33" s="160"/>
      <c r="B33" s="160"/>
      <c r="C33" s="224"/>
      <c r="D33" s="160"/>
      <c r="E33" s="160"/>
      <c r="F33" s="160"/>
    </row>
    <row r="34" spans="1:6" ht="18.75">
      <c r="A34" s="160"/>
      <c r="B34" s="160"/>
      <c r="C34" s="219"/>
      <c r="D34" s="160"/>
      <c r="E34" s="160"/>
      <c r="F34" s="160"/>
    </row>
    <row r="35" spans="1:6" ht="18.75">
      <c r="A35" s="160"/>
      <c r="B35" s="160"/>
      <c r="C35" s="224"/>
      <c r="D35" s="160"/>
      <c r="E35" s="160"/>
      <c r="F35" s="160"/>
    </row>
    <row r="36" spans="1:6" ht="18.75">
      <c r="A36" s="160"/>
      <c r="B36" s="160"/>
      <c r="C36" s="219"/>
      <c r="D36" s="160"/>
      <c r="E36" s="160"/>
      <c r="F36" s="160"/>
    </row>
    <row r="37" spans="1:6" ht="18.75">
      <c r="A37" s="160"/>
      <c r="B37" s="160"/>
      <c r="C37" s="224"/>
      <c r="D37" s="160"/>
      <c r="E37" s="160"/>
      <c r="F37" s="160"/>
    </row>
    <row r="38" spans="1:6">
      <c r="A38" s="160"/>
      <c r="B38" s="160"/>
      <c r="D38" s="160"/>
      <c r="E38" s="160"/>
      <c r="F38" s="160"/>
    </row>
    <row r="39" spans="1:6" ht="18.75">
      <c r="A39" s="160"/>
      <c r="B39" s="160"/>
      <c r="C39" s="219"/>
      <c r="D39" s="160"/>
      <c r="E39" s="160"/>
      <c r="F39" s="160"/>
    </row>
    <row r="40" spans="1:6" ht="18.75">
      <c r="A40" s="160"/>
      <c r="B40" s="160"/>
      <c r="C40" s="219"/>
      <c r="D40" s="160"/>
      <c r="E40" s="160"/>
      <c r="F40" s="160"/>
    </row>
    <row r="41" spans="1:6" ht="26.25">
      <c r="A41" s="217" t="s">
        <v>290</v>
      </c>
      <c r="B41" s="218"/>
      <c r="C41" s="219"/>
      <c r="D41" s="160"/>
      <c r="E41" s="160"/>
      <c r="F41" s="16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J14"/>
  <sheetViews>
    <sheetView showGridLines="0" zoomScaleNormal="100" zoomScalePageLayoutView="115" workbookViewId="0">
      <selection activeCell="F18" sqref="F18"/>
    </sheetView>
  </sheetViews>
  <sheetFormatPr defaultColWidth="8.7109375" defaultRowHeight="15.75"/>
  <cols>
    <col min="1" max="1" width="3.28515625" style="14" customWidth="1"/>
    <col min="2" max="2" width="2.7109375" style="14" bestFit="1" customWidth="1"/>
    <col min="3" max="3" width="11" style="14" customWidth="1"/>
    <col min="4" max="4" width="8.7109375" style="14" customWidth="1"/>
    <col min="5" max="5" width="10.7109375" style="14" customWidth="1"/>
    <col min="6" max="6" width="58.5703125" style="14" customWidth="1"/>
    <col min="7" max="7" width="50.7109375" style="14" customWidth="1"/>
    <col min="8" max="8" width="11.28515625" style="14" bestFit="1" customWidth="1"/>
    <col min="9" max="9" width="25.7109375" style="14" customWidth="1"/>
    <col min="10" max="10" width="31.7109375" style="14" customWidth="1"/>
    <col min="11" max="16384" width="8.7109375" style="14"/>
  </cols>
  <sheetData>
    <row r="1" spans="2:10" ht="23.25">
      <c r="B1" s="107" t="s">
        <v>24</v>
      </c>
    </row>
    <row r="3" spans="2:10" ht="15" customHeight="1">
      <c r="B3" s="109" t="s">
        <v>0</v>
      </c>
      <c r="C3" s="109" t="s">
        <v>1</v>
      </c>
      <c r="D3" s="109" t="s">
        <v>11</v>
      </c>
      <c r="E3" s="109" t="s">
        <v>20</v>
      </c>
      <c r="F3" s="109" t="s">
        <v>21</v>
      </c>
      <c r="G3" s="109" t="s">
        <v>22</v>
      </c>
      <c r="H3" s="109" t="s">
        <v>23</v>
      </c>
      <c r="I3" s="109" t="s">
        <v>27</v>
      </c>
      <c r="J3" s="21" t="s">
        <v>4</v>
      </c>
    </row>
    <row r="4" spans="2:10" ht="15" customHeight="1">
      <c r="B4" s="100">
        <v>1</v>
      </c>
      <c r="C4" s="103"/>
      <c r="D4" s="103" t="s">
        <v>29</v>
      </c>
      <c r="E4" s="103"/>
      <c r="F4" s="103"/>
      <c r="G4" s="103"/>
      <c r="H4" s="103"/>
      <c r="I4" s="103"/>
      <c r="J4" s="13"/>
    </row>
    <row r="5" spans="2:10" ht="15" customHeight="1">
      <c r="B5" s="100">
        <v>2</v>
      </c>
      <c r="C5" s="103"/>
      <c r="D5" s="103" t="s">
        <v>28</v>
      </c>
      <c r="E5" s="103"/>
      <c r="F5" s="103"/>
      <c r="G5" s="103"/>
      <c r="H5" s="103"/>
      <c r="I5" s="103"/>
      <c r="J5" s="13"/>
    </row>
    <row r="6" spans="2:10" ht="15" customHeight="1">
      <c r="B6" s="100">
        <v>3</v>
      </c>
      <c r="C6" s="103"/>
      <c r="D6" s="103" t="s">
        <v>30</v>
      </c>
      <c r="E6" s="103"/>
      <c r="F6" s="103"/>
      <c r="G6" s="103"/>
      <c r="H6" s="103"/>
      <c r="I6" s="103"/>
      <c r="J6" s="13"/>
    </row>
    <row r="7" spans="2:10" ht="15" customHeight="1">
      <c r="B7" s="100">
        <v>4</v>
      </c>
      <c r="C7" s="103"/>
      <c r="D7" s="103" t="s">
        <v>29</v>
      </c>
      <c r="E7" s="103"/>
      <c r="F7" s="103"/>
      <c r="G7" s="103"/>
      <c r="H7" s="103"/>
      <c r="I7" s="103"/>
      <c r="J7" s="13"/>
    </row>
    <row r="8" spans="2:10" ht="15" customHeight="1">
      <c r="B8" s="100">
        <v>5</v>
      </c>
      <c r="C8" s="103"/>
      <c r="D8" s="103" t="s">
        <v>29</v>
      </c>
      <c r="E8" s="103"/>
      <c r="F8" s="103"/>
      <c r="G8" s="103"/>
      <c r="H8" s="103"/>
      <c r="I8" s="103"/>
      <c r="J8" s="13"/>
    </row>
    <row r="9" spans="2:10" ht="15" customHeight="1">
      <c r="B9" s="100">
        <v>6</v>
      </c>
      <c r="C9" s="103"/>
      <c r="D9" s="103" t="s">
        <v>29</v>
      </c>
      <c r="E9" s="103"/>
      <c r="F9" s="103"/>
      <c r="G9" s="103"/>
      <c r="H9" s="103"/>
      <c r="I9" s="103"/>
      <c r="J9" s="13"/>
    </row>
    <row r="10" spans="2:10" ht="15" customHeight="1">
      <c r="B10" s="100">
        <v>7</v>
      </c>
      <c r="C10" s="103"/>
      <c r="D10" s="103" t="s">
        <v>29</v>
      </c>
      <c r="E10" s="103"/>
      <c r="F10" s="103"/>
      <c r="G10" s="103"/>
      <c r="H10" s="103"/>
      <c r="I10" s="103"/>
      <c r="J10" s="13"/>
    </row>
    <row r="11" spans="2:10" ht="15" customHeight="1">
      <c r="B11" s="100">
        <v>8</v>
      </c>
      <c r="C11" s="103"/>
      <c r="D11" s="103" t="s">
        <v>29</v>
      </c>
      <c r="E11" s="103"/>
      <c r="F11" s="103"/>
      <c r="G11" s="103"/>
      <c r="H11" s="103"/>
      <c r="I11" s="103"/>
      <c r="J11" s="13"/>
    </row>
    <row r="12" spans="2:10" ht="15" customHeight="1">
      <c r="B12" s="100">
        <v>9</v>
      </c>
      <c r="C12" s="103"/>
      <c r="D12" s="103" t="s">
        <v>29</v>
      </c>
      <c r="E12" s="103"/>
      <c r="F12" s="103"/>
      <c r="G12" s="103"/>
      <c r="H12" s="103"/>
      <c r="I12" s="103"/>
      <c r="J12" s="13"/>
    </row>
    <row r="13" spans="2:10" ht="15" customHeight="1">
      <c r="B13" s="100">
        <v>10</v>
      </c>
      <c r="C13" s="103"/>
      <c r="D13" s="103" t="s">
        <v>29</v>
      </c>
      <c r="E13" s="103"/>
      <c r="F13" s="103"/>
      <c r="G13" s="103"/>
      <c r="H13" s="103"/>
      <c r="I13" s="103"/>
      <c r="J13" s="13"/>
    </row>
    <row r="14" spans="2:10">
      <c r="B14" s="100">
        <v>11</v>
      </c>
      <c r="C14" s="103"/>
      <c r="D14" s="103" t="s">
        <v>29</v>
      </c>
      <c r="E14" s="103"/>
      <c r="F14" s="103"/>
      <c r="G14" s="103"/>
      <c r="H14" s="103"/>
      <c r="I14" s="103"/>
      <c r="J14" s="13"/>
    </row>
  </sheetData>
  <conditionalFormatting sqref="D4:D14">
    <cfRule type="cellIs" dxfId="2" priority="1" operator="equal">
      <formula>"Suspend"</formula>
    </cfRule>
    <cfRule type="cellIs" dxfId="1" priority="2" operator="equal">
      <formula>"Open"</formula>
    </cfRule>
    <cfRule type="cellIs" dxfId="0" priority="3" operator="equal">
      <formula>"Close"</formula>
    </cfRule>
  </conditionalFormatting>
  <dataValidations count="1">
    <dataValidation type="list" allowBlank="1" showInputMessage="1" showErrorMessage="1" sqref="D4:D14">
      <formula1>"Close, Open, Suspend"</formula1>
    </dataValidation>
  </dataValidations>
  <pageMargins left="0.36458333333333298" right="0.31862745098039202" top="0.73958333333333304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1.Cover</vt:lpstr>
      <vt:lpstr>2.History_ver</vt:lpstr>
      <vt:lpstr>3.Summary</vt:lpstr>
      <vt:lpstr>4.Definition_list</vt:lpstr>
      <vt:lpstr>5.Function_list MD</vt:lpstr>
      <vt:lpstr>5.Function_list (2)</vt:lpstr>
      <vt:lpstr>5.Function_list</vt:lpstr>
      <vt:lpstr>5.Function_list-old</vt:lpstr>
      <vt:lpstr>6.Testlist</vt:lpstr>
      <vt:lpstr>7.Scenario_flow</vt:lpstr>
      <vt:lpstr>8.SVA_List</vt:lpstr>
      <vt:lpstr>tc_reset_on_the_fly_F1_1</vt:lpstr>
      <vt:lpstr>tc_fft_no_default_tready_F2_1</vt:lpstr>
      <vt:lpstr>9.Q&amp;A</vt:lpstr>
      <vt:lpstr>'5.Function_list (2)'!_Toc243396187</vt:lpstr>
      <vt:lpstr>'5.Function_list (2)'!_Toc243396197</vt:lpstr>
      <vt:lpstr>f_1</vt:lpstr>
      <vt:lpstr>'4.Definition_list'!Print_Area</vt:lpstr>
      <vt:lpstr>'5.Function_list MD'!Print_Area</vt:lpstr>
      <vt:lpstr>'5.Function_list-old'!Print_Area</vt:lpstr>
      <vt:lpstr>'6.Testlist'!Print_Area</vt:lpstr>
      <vt:lpstr>'7.Scenario_flow'!Print_Area</vt:lpstr>
      <vt:lpstr>Total_T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2026-10-29T03:53:58Z</dcterms:modified>
</cp:coreProperties>
</file>